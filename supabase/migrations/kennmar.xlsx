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bux Profit Calculator" sheetId="1" r:id="rId5"/>
    <sheet state="visible" name="Entry" sheetId="2" r:id="rId6"/>
    <sheet state="visible" name="ROBUX" sheetId="3" r:id="rId7"/>
    <sheet state="visible" name="LOG BOOK" sheetId="4" r:id="rId8"/>
    <sheet state="visible" name="Template" sheetId="5" r:id="rId9"/>
  </sheets>
  <definedNames/>
  <calcPr/>
</workbook>
</file>

<file path=xl/sharedStrings.xml><?xml version="1.0" encoding="utf-8"?>
<sst xmlns="http://schemas.openxmlformats.org/spreadsheetml/2006/main" count="379" uniqueCount="308">
  <si>
    <t>robux cost</t>
  </si>
  <si>
    <t>Name</t>
  </si>
  <si>
    <t>Entry Number</t>
  </si>
  <si>
    <t>Date</t>
  </si>
  <si>
    <t>Competitors price</t>
  </si>
  <si>
    <t>Jerica</t>
  </si>
  <si>
    <t>Robux</t>
  </si>
  <si>
    <t>AMOUNT</t>
  </si>
  <si>
    <t>Price</t>
  </si>
  <si>
    <t>Sebastian Kurt Lopez</t>
  </si>
  <si>
    <t>Gamepass Name</t>
  </si>
  <si>
    <t>Your Price</t>
  </si>
  <si>
    <t>Price (Pesos)</t>
  </si>
  <si>
    <t>Daniel bon</t>
  </si>
  <si>
    <t>Your Cost</t>
  </si>
  <si>
    <t>Charles Kenneth Castillo</t>
  </si>
  <si>
    <t>Column 1</t>
  </si>
  <si>
    <t>Profit</t>
  </si>
  <si>
    <t>Ben Saed</t>
  </si>
  <si>
    <t>RS Bought</t>
  </si>
  <si>
    <t>Status</t>
  </si>
  <si>
    <t>Gery Monieva Hardinan</t>
  </si>
  <si>
    <t>R AMOUNT</t>
  </si>
  <si>
    <t>Suggested Lower Price</t>
  </si>
  <si>
    <t>Gamepass name</t>
  </si>
  <si>
    <t>Lucas Vigilia Barroga</t>
  </si>
  <si>
    <t>Patrick Sevilla</t>
  </si>
  <si>
    <t>Robux Rate Per 1000</t>
  </si>
  <si>
    <t>Christopher Leonin</t>
  </si>
  <si>
    <t>Logshet</t>
  </si>
  <si>
    <t>Kurt Mendoza</t>
  </si>
  <si>
    <t>Robux calculate</t>
  </si>
  <si>
    <t>Ken Baliña</t>
  </si>
  <si>
    <t>Jèè Bns</t>
  </si>
  <si>
    <t>Drew Bulatao</t>
  </si>
  <si>
    <t>500m RP / boombox</t>
  </si>
  <si>
    <t>Kenshin Maravilla</t>
  </si>
  <si>
    <t>Mik Oliveros Fajardo</t>
  </si>
  <si>
    <t>Sam Obiña</t>
  </si>
  <si>
    <t>-480 / bought 1500 - 500 rs</t>
  </si>
  <si>
    <t>Gabriel Ordoñez</t>
  </si>
  <si>
    <t>2k</t>
  </si>
  <si>
    <t>John David Lita</t>
  </si>
  <si>
    <t>Albert Magsino Belobio</t>
  </si>
  <si>
    <t>Nanah Bee</t>
  </si>
  <si>
    <t>Rolan Angelo Zablan</t>
  </si>
  <si>
    <t>Emerson Cristobal</t>
  </si>
  <si>
    <t>Karina</t>
  </si>
  <si>
    <t>Kent Emerson Mercado</t>
  </si>
  <si>
    <t>Ronian Beckett Salcedo Solis</t>
  </si>
  <si>
    <t>Ken Tulio</t>
  </si>
  <si>
    <t xml:space="preserve"> + 145 / Yuan</t>
  </si>
  <si>
    <t>350/1 rate mixed</t>
  </si>
  <si>
    <t>non cover</t>
  </si>
  <si>
    <t>335/1 rate</t>
  </si>
  <si>
    <t>PLUS ACC AVAILABLE</t>
  </si>
  <si>
    <t>Robux (PLUS)</t>
  </si>
  <si>
    <t>ACCOUNT</t>
  </si>
  <si>
    <t xml:space="preserve">AMOUNT </t>
  </si>
  <si>
    <t>AVAILABLE</t>
  </si>
  <si>
    <t>card ginamit</t>
  </si>
  <si>
    <t>emppuuxw</t>
  </si>
  <si>
    <t>500(6/20 next)</t>
  </si>
  <si>
    <t>zuno</t>
  </si>
  <si>
    <t>Marlen_1003</t>
  </si>
  <si>
    <t>500(6/20)</t>
  </si>
  <si>
    <t>Imthebestman76</t>
  </si>
  <si>
    <t>200(100 avail 2day)</t>
  </si>
  <si>
    <t>LOLrtovucks</t>
  </si>
  <si>
    <t>1k</t>
  </si>
  <si>
    <t xml:space="preserve">Cielitorarito </t>
  </si>
  <si>
    <t>drei</t>
  </si>
  <si>
    <t>harleycerbas</t>
  </si>
  <si>
    <t>Robux calculate lower value</t>
  </si>
  <si>
    <t>VOUCH</t>
  </si>
  <si>
    <t>XxaronxXcrack</t>
  </si>
  <si>
    <t>350/1</t>
  </si>
  <si>
    <t>Added</t>
  </si>
  <si>
    <t>Thank you po! Makikisuyo lang po sana ako ng vouch sir. https://www.facebook.com/share/p/1YPavTmfHF/ Thank you po ulit!</t>
  </si>
  <si>
    <t>Added po sir BudgetWise user</t>
  </si>
  <si>
    <t>drag drive simulator</t>
  </si>
  <si>
    <t>Police Pass</t>
  </si>
  <si>
    <t>Luxury Pass</t>
  </si>
  <si>
    <t>Dragspec Pass</t>
  </si>
  <si>
    <t>Slot Limit Unlocker</t>
  </si>
  <si>
    <t>2X Paycheck</t>
  </si>
  <si>
    <t>Custom Plate Pass</t>
  </si>
  <si>
    <t>Exclusive Rims</t>
  </si>
  <si>
    <t>Advance Paint Pass</t>
  </si>
  <si>
    <t>Premium Accessories</t>
  </si>
  <si>
    <t>Boombox Radio</t>
  </si>
  <si>
    <t>Suspension Pro</t>
  </si>
  <si>
    <t>Rp 500,000,000</t>
  </si>
  <si>
    <t>Rp 100,000,000</t>
  </si>
  <si>
    <t>Rp 50,000,000</t>
  </si>
  <si>
    <t>Rp 10,000,000</t>
  </si>
  <si>
    <t>CDID</t>
  </si>
  <si>
    <t>Emergency Vehicles</t>
  </si>
  <si>
    <t>50% Job Earning</t>
  </si>
  <si>
    <t>Advance Modification</t>
  </si>
  <si>
    <t>Luxury Vehicles</t>
  </si>
  <si>
    <t>Additional Ownable Car</t>
  </si>
  <si>
    <t>Rare Imports</t>
  </si>
  <si>
    <t>Luxury House</t>
  </si>
  <si>
    <t>2x Paycheck</t>
  </si>
  <si>
    <t>Retro Pass</t>
  </si>
  <si>
    <t>2x Additional Ownable Car</t>
  </si>
  <si>
    <t>Rp. 10,000,000,000</t>
  </si>
  <si>
    <t>Rp. 25,000,000</t>
  </si>
  <si>
    <t>Rp. 25,000,000,000</t>
  </si>
  <si>
    <t>Rp. 100,000,000</t>
  </si>
  <si>
    <t>Rp. 2,500,000,000</t>
  </si>
  <si>
    <t>Rp. 750,000,000</t>
  </si>
  <si>
    <t>Rp. 250,000,000</t>
  </si>
  <si>
    <t>Limited Box</t>
  </si>
  <si>
    <t>ROBUX SELL</t>
  </si>
  <si>
    <t>Covered tax</t>
  </si>
  <si>
    <t>Not covered tax</t>
  </si>
  <si>
    <t>ROBUX PLUS</t>
  </si>
  <si>
    <t>Gakuran</t>
  </si>
  <si>
    <t>150 rerolls</t>
  </si>
  <si>
    <t>Grow a garden 2</t>
  </si>
  <si>
    <t>Vine wrapper</t>
  </si>
  <si>
    <t>Power hose</t>
  </si>
  <si>
    <t>Grappling Hook</t>
  </si>
  <si>
    <t>Rainbow carpet</t>
  </si>
  <si>
    <t>legendary</t>
  </si>
  <si>
    <t>mythic</t>
  </si>
  <si>
    <t>super</t>
  </si>
  <si>
    <t>Anime squadron</t>
  </si>
  <si>
    <t>PROMPT NALANG, NASA DC NA PIC</t>
  </si>
  <si>
    <t xml:space="preserve"> Shinobi-Bundle!(+Skin)</t>
  </si>
  <si>
    <t>White Goul Bundle (+Skin)</t>
  </si>
  <si>
    <t>Dragon BundleN (+Skin)</t>
  </si>
  <si>
    <t>Crusader Bundle #2</t>
  </si>
  <si>
    <t>Beginner Bundle</t>
  </si>
  <si>
    <t xml:space="preserve">Crusader Bundle </t>
  </si>
  <si>
    <t xml:space="preserve">Premium </t>
  </si>
  <si>
    <t>UPD 2.5 Bundle</t>
  </si>
  <si>
    <t>3x Speed</t>
  </si>
  <si>
    <t>Shiny hunter</t>
  </si>
  <si>
    <t>beginner</t>
  </si>
  <si>
    <t>summon</t>
  </si>
  <si>
    <t>upgrade</t>
  </si>
  <si>
    <t>Premium Pass</t>
  </si>
  <si>
    <t>battlepass</t>
  </si>
  <si>
    <t>Diesel n steel</t>
  </si>
  <si>
    <t>x2 cash</t>
  </si>
  <si>
    <t>vip</t>
  </si>
  <si>
    <t>x2 exp</t>
  </si>
  <si>
    <t>-dmg</t>
  </si>
  <si>
    <t>discount</t>
  </si>
  <si>
    <t>2.5k</t>
  </si>
  <si>
    <t>10k</t>
  </si>
  <si>
    <t>25k</t>
  </si>
  <si>
    <t>100k</t>
  </si>
  <si>
    <t>100xp</t>
  </si>
  <si>
    <t>250xp</t>
  </si>
  <si>
    <t>1kxp</t>
  </si>
  <si>
    <t>2.5kxp</t>
  </si>
  <si>
    <t>10kxp</t>
  </si>
  <si>
    <t>Evomon (DC ACC)</t>
  </si>
  <si>
    <t>VIP</t>
  </si>
  <si>
    <t>2x faster</t>
  </si>
  <si>
    <t>50 storage</t>
  </si>
  <si>
    <t>King ball</t>
  </si>
  <si>
    <t>Prismatic ball</t>
  </si>
  <si>
    <t>10x King ball</t>
  </si>
  <si>
    <t>10x Prismatic ball</t>
  </si>
  <si>
    <t>Premium pass</t>
  </si>
  <si>
    <t xml:space="preserve">premium </t>
  </si>
  <si>
    <t>Storage hunters</t>
  </si>
  <si>
    <t>Quick Sell</t>
  </si>
  <si>
    <t>50% Plot Item Capacity</t>
  </si>
  <si>
    <t>50% Car Weight</t>
  </si>
  <si>
    <t>Extra Gavel Trophy</t>
  </si>
  <si>
    <t>50% Inventory Storage</t>
  </si>
  <si>
    <t>Celebrity Customers</t>
  </si>
  <si>
    <t>Speedy Offers</t>
  </si>
  <si>
    <t>50% Selling Space</t>
  </si>
  <si>
    <t>Lucky Grading</t>
  </si>
  <si>
    <t>Free Vehicle Customisation</t>
  </si>
  <si>
    <t>Keyboard Escape | Candy &amp; Chocolate (DC ACC)</t>
  </si>
  <si>
    <t>gold treadmill</t>
  </si>
  <si>
    <t>diamond treadmill</t>
  </si>
  <si>
    <t>candy treadmill</t>
  </si>
  <si>
    <t>admin treadmill</t>
  </si>
  <si>
    <t>INFINITY TRAIL</t>
  </si>
  <si>
    <t>Build a ring farm (DC ACC)</t>
  </si>
  <si>
    <t>1 oceanic egg</t>
  </si>
  <si>
    <t>1 egg wizard</t>
  </si>
  <si>
    <t>3 oceanic egg</t>
  </si>
  <si>
    <t>3 egg wizard</t>
  </si>
  <si>
    <t>10 oceanic egg</t>
  </si>
  <si>
    <t>10 eggs wizard</t>
  </si>
  <si>
    <t>3 packs primal</t>
  </si>
  <si>
    <t>1 pack primal</t>
  </si>
  <si>
    <t>10 packs primal</t>
  </si>
  <si>
    <t>1 pack corrupted</t>
  </si>
  <si>
    <t>3 packs corrupted</t>
  </si>
  <si>
    <t>10 packs corrupted</t>
  </si>
  <si>
    <t>1 pet equip</t>
  </si>
  <si>
    <t>Meter Monarch Bundle</t>
  </si>
  <si>
    <t>void Leviathan Bundle</t>
  </si>
  <si>
    <t>Clockwork Bundle</t>
  </si>
  <si>
    <t>ancient Jungle Bundle</t>
  </si>
  <si>
    <t>summer harvest bundle</t>
  </si>
  <si>
    <t>Blox burg</t>
  </si>
  <si>
    <t>Multiple floors</t>
  </si>
  <si>
    <t>Advanced Placing</t>
  </si>
  <si>
    <t>Transform Plus</t>
  </si>
  <si>
    <t>Basements</t>
  </si>
  <si>
    <t>Premium</t>
  </si>
  <si>
    <t>Large plot</t>
  </si>
  <si>
    <t>Excellent employee</t>
  </si>
  <si>
    <t xml:space="preserve">Marvelous Mood </t>
  </si>
  <si>
    <t>Brookhaven</t>
  </si>
  <si>
    <t>Vehicle Boost Upgrade</t>
  </si>
  <si>
    <t>Vehicle Upgrade</t>
  </si>
  <si>
    <t>Music Unlocked</t>
  </si>
  <si>
    <t>Vehicle Speed Unlocked</t>
  </si>
  <si>
    <t>Estates Unlocked</t>
  </si>
  <si>
    <t>Land Unlocked</t>
  </si>
  <si>
    <t>Penthouse</t>
  </si>
  <si>
    <t>Vehicle Customization</t>
  </si>
  <si>
    <t>Horse Upgrade</t>
  </si>
  <si>
    <t>On Demand Fire</t>
  </si>
  <si>
    <t>Vehicle Pack</t>
  </si>
  <si>
    <t>Boat Pack</t>
  </si>
  <si>
    <t>Disaster Pass</t>
  </si>
  <si>
    <t>Theme Pack</t>
  </si>
  <si>
    <t>ANIME EXPEDITION</t>
  </si>
  <si>
    <t>STARTER BUNDLE</t>
  </si>
  <si>
    <t>DISPLAY ALL UNITS</t>
  </si>
  <si>
    <t>SHINY  HUNTER</t>
  </si>
  <si>
    <t>PREMIUM BP</t>
  </si>
  <si>
    <t>RELEASE BUNDLE 1</t>
  </si>
  <si>
    <t>RELEASE BUNDLE 2</t>
  </si>
  <si>
    <t>RELEASE BUNDLE 3</t>
  </si>
  <si>
    <t>RELEASE BUNDLE 4</t>
  </si>
  <si>
    <t>VILLAIN BUNDLE 1</t>
  </si>
  <si>
    <t>VILLAIN BUNDLE 2</t>
  </si>
  <si>
    <t>VILLAIN BUNDLE 3</t>
  </si>
  <si>
    <t>1 TRAIT CRYSTAL</t>
  </si>
  <si>
    <t>10 TRAIT CRYSTAL</t>
  </si>
  <si>
    <t>25 TRAIT CRYSTAL</t>
  </si>
  <si>
    <t>50 TRAIT CRYSTAL</t>
  </si>
  <si>
    <t>2500 VILLAIN COINS</t>
  </si>
  <si>
    <t>7500VILLAIN COINS</t>
  </si>
  <si>
    <t>25000VILLAIN COINS</t>
  </si>
  <si>
    <t>75000VILLAIN COINS</t>
  </si>
  <si>
    <t>LUCK POTION</t>
  </si>
  <si>
    <t>SUPER LUCK POTION</t>
  </si>
  <si>
    <t>Midnight chasers</t>
  </si>
  <si>
    <t>track vehicles</t>
  </si>
  <si>
    <t>mobile customization</t>
  </si>
  <si>
    <t>police</t>
  </si>
  <si>
    <t>Hypershot</t>
  </si>
  <si>
    <t>celestial</t>
  </si>
  <si>
    <t>lovesick</t>
  </si>
  <si>
    <t>Rainbow Bullets</t>
  </si>
  <si>
    <t>67 bundle</t>
  </si>
  <si>
    <t>The Big Gun</t>
  </si>
  <si>
    <t>Pizza party</t>
  </si>
  <si>
    <t>Starter Pack</t>
  </si>
  <si>
    <t>The Essentials</t>
  </si>
  <si>
    <t>Lucky</t>
  </si>
  <si>
    <t>Run a Restaurant</t>
  </si>
  <si>
    <t>22.5 dias</t>
  </si>
  <si>
    <t>CASH FLOW</t>
  </si>
  <si>
    <t>Plot Expansion</t>
  </si>
  <si>
    <t>Rare Customer</t>
  </si>
  <si>
    <t>Strongest Battlegrounds</t>
  </si>
  <si>
    <t>Early Access</t>
  </si>
  <si>
    <t>Private Server +</t>
  </si>
  <si>
    <t>5 EMOTES</t>
  </si>
  <si>
    <t>10 EMOTES</t>
  </si>
  <si>
    <t>AWAKENING OUTFIT</t>
  </si>
  <si>
    <t>Random Emote</t>
  </si>
  <si>
    <t>Emote Second Page</t>
  </si>
  <si>
    <t>Kill Sound</t>
  </si>
  <si>
    <t>Extra Emote Slot</t>
  </si>
  <si>
    <t>50 EMOTES</t>
  </si>
  <si>
    <t>1 Spin</t>
  </si>
  <si>
    <t>3 Cosmetics</t>
  </si>
  <si>
    <t>5 Cosmetics</t>
  </si>
  <si>
    <t>Boundless Rage</t>
  </si>
  <si>
    <t>Wombo Combo</t>
  </si>
  <si>
    <t>EVADE</t>
  </si>
  <si>
    <t>MUSIC CARRY PACK 1</t>
  </si>
  <si>
    <t>MUSIC EMOTES PACK 1</t>
  </si>
  <si>
    <t>MUSIC EMOTE PACK 2</t>
  </si>
  <si>
    <t>Boombox</t>
  </si>
  <si>
    <t>RETRO COSMETICS SET</t>
  </si>
  <si>
    <t>WORLDS COLLIDE</t>
  </si>
  <si>
    <t>6 EMOTES SLOTS</t>
  </si>
  <si>
    <t>MILITARY SET</t>
  </si>
  <si>
    <t>FUTURE PACK</t>
  </si>
  <si>
    <t>CRYSTALLINE SET</t>
  </si>
  <si>
    <t>ANIMAL SET</t>
  </si>
  <si>
    <t>30 Points</t>
  </si>
  <si>
    <t>EMOTE PACK</t>
  </si>
  <si>
    <t>CLASSIC SET</t>
  </si>
  <si>
    <t>100 Points</t>
  </si>
  <si>
    <t>400 Points (Best Value!)</t>
  </si>
  <si>
    <t>POSEIDON SET</t>
  </si>
  <si>
    <t>Redliner</t>
  </si>
  <si>
    <t>nihility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</si>
</sst>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9">
    <font>
      <sz val="11.0"/>
      <color theme="1"/>
      <name val="Calibri"/>
      <scheme val="minor"/>
    </font>
    <font>
      <sz val="12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Calibri"/>
      <scheme val="minor"/>
    </font>
    <font>
      <color rgb="FF1F1F1F"/>
      <name val="Calibri"/>
    </font>
    <font>
      <sz val="11.0"/>
      <color theme="1"/>
      <name val="Calibri"/>
    </font>
    <font>
      <b/>
      <color theme="1"/>
      <name val="Times New Roman"/>
    </font>
    <font>
      <sz val="11.0"/>
      <color rgb="FF080809"/>
      <name val="Arial"/>
    </font>
    <font>
      <b/>
      <color rgb="FF000000"/>
      <name val="Sans-serif"/>
    </font>
    <font>
      <sz val="11.0"/>
      <color theme="1"/>
      <name val="Aptos Narrow"/>
    </font>
    <font>
      <sz val="11.0"/>
      <color rgb="FF000000"/>
      <name val="&quot;Aptos Narrow&quot;"/>
    </font>
    <font>
      <sz val="12.0"/>
      <color theme="1"/>
      <name val="Arial"/>
    </font>
    <font>
      <i/>
      <sz val="11.0"/>
      <color theme="1"/>
      <name val="Calibri"/>
    </font>
    <font>
      <sz val="12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C7CE"/>
        <bgColor rgb="FFFFC7CE"/>
      </patternFill>
    </fill>
    <fill>
      <patternFill patternType="solid">
        <fgColor rgb="FFF9CB9C"/>
        <bgColor rgb="FFF9CB9C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2" fontId="2" numFmtId="0" xfId="0" applyFill="1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0" fontId="5" numFmtId="164" xfId="0" applyAlignment="1" applyFont="1" applyNumberFormat="1">
      <alignment shrinkToFit="0" vertical="bottom" wrapText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5" numFmtId="0" xfId="0" applyAlignment="1" applyFont="1">
      <alignment shrinkToFit="0" vertical="bottom" wrapText="0"/>
    </xf>
    <xf borderId="0" fillId="4" fontId="2" numFmtId="0" xfId="0" applyFill="1" applyFont="1"/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5" fontId="4" numFmtId="0" xfId="0" applyFill="1" applyFont="1"/>
    <xf borderId="0" fillId="6" fontId="7" numFmtId="0" xfId="0" applyAlignment="1" applyFill="1" applyFont="1">
      <alignment horizontal="right" shrinkToFit="0" vertical="bottom" wrapText="0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4" fontId="10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7" fontId="10" numFmtId="0" xfId="0" applyAlignment="1" applyFill="1" applyFont="1">
      <alignment horizontal="right" vertical="bottom"/>
    </xf>
    <xf borderId="0" fillId="6" fontId="7" numFmtId="0" xfId="0" applyAlignment="1" applyFont="1">
      <alignment horizontal="right" vertical="bottom"/>
    </xf>
    <xf borderId="0" fillId="6" fontId="7" numFmtId="0" xfId="0" applyAlignment="1" applyFont="1">
      <alignment vertical="bottom"/>
    </xf>
    <xf borderId="0" fillId="8" fontId="10" numFmtId="0" xfId="0" applyAlignment="1" applyFill="1" applyFont="1">
      <alignment vertical="bottom"/>
    </xf>
    <xf borderId="0" fillId="6" fontId="2" numFmtId="0" xfId="0" applyFont="1"/>
    <xf borderId="0" fillId="0" fontId="10" numFmtId="0" xfId="0" applyAlignment="1" applyFont="1">
      <alignment vertical="bottom"/>
    </xf>
    <xf borderId="0" fillId="4" fontId="4" numFmtId="0" xfId="0" applyFont="1"/>
    <xf borderId="0" fillId="7" fontId="10" numFmtId="0" xfId="0" applyAlignment="1" applyFont="1">
      <alignment horizontal="center" readingOrder="0" vertical="bottom"/>
    </xf>
    <xf borderId="0" fillId="9" fontId="10" numFmtId="0" xfId="0" applyAlignment="1" applyFill="1" applyFont="1">
      <alignment horizontal="right" vertical="bottom"/>
    </xf>
    <xf borderId="0" fillId="10" fontId="10" numFmtId="0" xfId="0" applyAlignment="1" applyFill="1" applyFont="1">
      <alignment vertical="bottom"/>
    </xf>
    <xf borderId="0" fillId="9" fontId="4" numFmtId="0" xfId="0" applyFont="1"/>
    <xf borderId="0" fillId="5" fontId="4" numFmtId="0" xfId="0" applyAlignment="1" applyFont="1">
      <alignment readingOrder="0"/>
    </xf>
    <xf borderId="0" fillId="5" fontId="8" numFmtId="0" xfId="0" applyAlignment="1" applyFont="1">
      <alignment readingOrder="0"/>
    </xf>
    <xf borderId="0" fillId="9" fontId="4" numFmtId="0" xfId="0" applyAlignment="1" applyFont="1">
      <alignment horizontal="center" readingOrder="0"/>
    </xf>
    <xf borderId="0" fillId="5" fontId="2" numFmtId="0" xfId="0" applyFont="1"/>
    <xf borderId="0" fillId="11" fontId="4" numFmtId="0" xfId="0" applyFill="1" applyFont="1"/>
    <xf borderId="0" fillId="0" fontId="11" numFmtId="0" xfId="0" applyAlignment="1" applyFont="1">
      <alignment shrinkToFit="0" wrapText="0"/>
    </xf>
    <xf borderId="0" fillId="0" fontId="12" numFmtId="0" xfId="0" applyFont="1"/>
    <xf borderId="0" fillId="0" fontId="13" numFmtId="0" xfId="0" applyAlignment="1" applyFont="1">
      <alignment shrinkToFit="0" wrapText="0"/>
    </xf>
    <xf borderId="0" fillId="12" fontId="4" numFmtId="0" xfId="0" applyAlignment="1" applyFill="1" applyFont="1">
      <alignment readingOrder="0"/>
    </xf>
    <xf borderId="0" fillId="13" fontId="2" numFmtId="0" xfId="0" applyAlignment="1" applyFill="1" applyFont="1">
      <alignment horizontal="center"/>
    </xf>
    <xf borderId="0" fillId="14" fontId="4" numFmtId="0" xfId="0" applyAlignment="1" applyFill="1" applyFont="1">
      <alignment horizontal="center"/>
    </xf>
    <xf borderId="0" fillId="5" fontId="8" numFmtId="0" xfId="0" applyFont="1"/>
    <xf borderId="0" fillId="0" fontId="2" numFmtId="0" xfId="0" applyFont="1"/>
    <xf borderId="0" fillId="5" fontId="2" numFmtId="0" xfId="0" applyAlignment="1" applyFont="1">
      <alignment readingOrder="0"/>
    </xf>
    <xf borderId="0" fillId="0" fontId="4" numFmtId="0" xfId="0" applyAlignment="1" applyFont="1">
      <alignment horizontal="left"/>
    </xf>
    <xf borderId="0" fillId="15" fontId="10" numFmtId="0" xfId="0" applyAlignment="1" applyFill="1" applyFont="1">
      <alignment vertical="bottom"/>
    </xf>
    <xf borderId="0" fillId="11" fontId="10" numFmtId="0" xfId="0" applyAlignment="1" applyFont="1">
      <alignment readingOrder="0" vertical="bottom"/>
    </xf>
    <xf borderId="0" fillId="0" fontId="10" numFmtId="0" xfId="0" applyAlignment="1" applyFont="1">
      <alignment horizontal="center" vertical="bottom"/>
    </xf>
    <xf borderId="0" fillId="16" fontId="10" numFmtId="0" xfId="0" applyAlignment="1" applyFill="1" applyFont="1">
      <alignment horizontal="center" vertical="bottom"/>
    </xf>
    <xf borderId="0" fillId="5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16" fontId="10" numFmtId="0" xfId="0" applyAlignment="1" applyFont="1">
      <alignment vertical="bottom"/>
    </xf>
    <xf borderId="0" fillId="16" fontId="10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5" fontId="10" numFmtId="0" xfId="0" applyAlignment="1" applyFont="1">
      <alignment vertical="bottom"/>
    </xf>
    <xf borderId="0" fillId="0" fontId="10" numFmtId="3" xfId="0" applyAlignment="1" applyFont="1" applyNumberFormat="1">
      <alignment vertical="bottom"/>
    </xf>
    <xf borderId="0" fillId="11" fontId="10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0" fontId="4" numFmtId="3" xfId="0" applyAlignment="1" applyFont="1" applyNumberFormat="1">
      <alignment horizontal="left"/>
    </xf>
    <xf borderId="0" fillId="11" fontId="3" numFmtId="0" xfId="0" applyAlignment="1" applyFont="1">
      <alignment vertical="bottom"/>
    </xf>
    <xf borderId="0" fillId="16" fontId="4" numFmtId="0" xfId="0" applyFont="1"/>
    <xf borderId="0" fillId="16" fontId="10" numFmtId="0" xfId="0" applyAlignment="1" applyFont="1">
      <alignment horizontal="right" vertical="bottom"/>
    </xf>
    <xf borderId="0" fillId="2" fontId="4" numFmtId="0" xfId="0" applyFont="1"/>
    <xf borderId="0" fillId="5" fontId="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2" fontId="10" numFmtId="0" xfId="0" applyAlignment="1" applyFont="1">
      <alignment horizontal="righ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17" fontId="6" numFmtId="0" xfId="0" applyAlignment="1" applyFill="1" applyFont="1">
      <alignment horizontal="right" vertical="bottom"/>
    </xf>
    <xf borderId="0" fillId="17" fontId="6" numFmtId="0" xfId="0" applyAlignment="1" applyFont="1">
      <alignment vertical="bottom"/>
    </xf>
    <xf borderId="0" fillId="17" fontId="10" numFmtId="0" xfId="0" applyAlignment="1" applyFont="1">
      <alignment horizontal="right" readingOrder="0" vertical="bottom"/>
    </xf>
    <xf borderId="0" fillId="17" fontId="10" numFmtId="0" xfId="0" applyAlignment="1" applyFont="1">
      <alignment horizontal="right" vertical="bottom"/>
    </xf>
    <xf borderId="0" fillId="17" fontId="10" numFmtId="0" xfId="0" applyAlignment="1" applyFont="1">
      <alignment vertical="bottom"/>
    </xf>
    <xf borderId="0" fillId="18" fontId="10" numFmtId="0" xfId="0" applyAlignment="1" applyFill="1" applyFont="1">
      <alignment readingOrder="0" vertical="bottom"/>
    </xf>
    <xf borderId="0" fillId="0" fontId="10" numFmtId="0" xfId="0" applyAlignment="1" applyFont="1">
      <alignment readingOrder="0" vertical="bottom"/>
    </xf>
    <xf borderId="0" fillId="15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8" fontId="10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18" fontId="10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10" fontId="10" numFmtId="0" xfId="0" applyAlignment="1" applyFont="1">
      <alignment vertical="bottom"/>
    </xf>
    <xf borderId="0" fillId="5" fontId="10" numFmtId="0" xfId="0" applyAlignment="1" applyFont="1">
      <alignment horizontal="right" vertical="bottom"/>
    </xf>
    <xf borderId="0" fillId="11" fontId="10" numFmtId="0" xfId="0" applyAlignment="1" applyFont="1">
      <alignment horizontal="left" vertical="bottom"/>
    </xf>
    <xf borderId="0" fillId="19" fontId="10" numFmtId="0" xfId="0" applyAlignment="1" applyFill="1" applyFont="1">
      <alignment vertical="bottom"/>
    </xf>
    <xf borderId="0" fillId="19" fontId="16" numFmtId="0" xfId="0" applyAlignment="1" applyFont="1">
      <alignment vertical="bottom"/>
    </xf>
    <xf borderId="0" fillId="19" fontId="0" numFmtId="0" xfId="0" applyAlignment="1" applyFont="1">
      <alignment vertical="bottom"/>
    </xf>
    <xf borderId="0" fillId="19" fontId="0" numFmtId="0" xfId="0" applyAlignment="1" applyFont="1">
      <alignment vertical="bottom"/>
    </xf>
    <xf borderId="0" fillId="19" fontId="16" numFmtId="0" xfId="0" applyAlignment="1" applyFont="1">
      <alignment vertical="bottom"/>
    </xf>
    <xf borderId="0" fillId="19" fontId="16" numFmtId="3" xfId="0" applyAlignment="1" applyFont="1" applyNumberFormat="1">
      <alignment vertical="bottom"/>
    </xf>
    <xf borderId="0" fillId="15" fontId="10" numFmtId="0" xfId="0" applyAlignment="1" applyFont="1">
      <alignment horizontal="right" readingOrder="0" vertical="bottom"/>
    </xf>
    <xf borderId="0" fillId="5" fontId="10" numFmtId="0" xfId="0" applyAlignment="1" applyFont="1">
      <alignment readingOrder="0" vertical="bottom"/>
    </xf>
    <xf borderId="0" fillId="5" fontId="10" numFmtId="0" xfId="0" applyAlignment="1" applyFont="1">
      <alignment horizontal="right" readingOrder="0" vertical="bottom"/>
    </xf>
    <xf borderId="0" fillId="5" fontId="10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5" fontId="10" numFmtId="3" xfId="0" applyAlignment="1" applyFont="1" applyNumberFormat="1">
      <alignment vertical="bottom"/>
    </xf>
    <xf borderId="0" fillId="10" fontId="10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5" fontId="6" numFmtId="3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20" fontId="10" numFmtId="0" xfId="0" applyAlignment="1" applyFill="1" applyFont="1">
      <alignment vertical="bottom"/>
    </xf>
    <xf borderId="0" fillId="5" fontId="6" numFmtId="3" xfId="0" applyAlignment="1" applyFont="1" applyNumberFormat="1">
      <alignment vertical="bottom"/>
    </xf>
    <xf borderId="0" fillId="5" fontId="6" numFmtId="3" xfId="0" applyAlignment="1" applyFont="1" applyNumberFormat="1">
      <alignment horizontal="left" vertical="bottom"/>
    </xf>
    <xf borderId="0" fillId="2" fontId="3" numFmtId="0" xfId="0" applyAlignment="1" applyFont="1">
      <alignment horizontal="right" readingOrder="0" vertical="bottom"/>
    </xf>
    <xf borderId="0" fillId="17" fontId="3" numFmtId="0" xfId="0" applyAlignment="1" applyFont="1">
      <alignment horizontal="right" readingOrder="0" vertical="bottom"/>
    </xf>
    <xf borderId="0" fillId="5" fontId="10" numFmtId="3" xfId="0" applyAlignment="1" applyFont="1" applyNumberFormat="1">
      <alignment readingOrder="0" vertical="bottom"/>
    </xf>
    <xf borderId="0" fillId="5" fontId="17" numFmtId="0" xfId="0" applyAlignment="1" applyFont="1">
      <alignment vertical="bottom"/>
    </xf>
    <xf borderId="0" fillId="17" fontId="10" numFmtId="0" xfId="0" applyAlignment="1" applyFont="1">
      <alignment vertical="bottom"/>
    </xf>
    <xf borderId="0" fillId="17" fontId="6" numFmtId="0" xfId="0" applyAlignment="1" applyFont="1">
      <alignment horizontal="right" vertical="bottom"/>
    </xf>
    <xf borderId="0" fillId="17" fontId="10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17" fontId="10" numFmtId="3" xfId="0" applyAlignment="1" applyFont="1" applyNumberFormat="1">
      <alignment horizontal="right" vertical="bottom"/>
    </xf>
    <xf borderId="0" fillId="5" fontId="14" numFmtId="0" xfId="0" applyAlignment="1" applyFont="1">
      <alignment horizontal="right" vertical="bottom"/>
    </xf>
    <xf borderId="0" fillId="5" fontId="10" numFmtId="3" xfId="0" applyAlignment="1" applyFont="1" applyNumberFormat="1">
      <alignment horizontal="right" vertical="bottom"/>
    </xf>
    <xf borderId="0" fillId="5" fontId="14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horizontal="right" vertical="bottom"/>
    </xf>
    <xf borderId="0" fillId="5" fontId="18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1">
    <tableStyle count="3" pivot="0" name="LOG BOO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Table_1" name="Table_1" id="1">
  <tableColumns count="6">
    <tableColumn name="Date" id="1"/>
    <tableColumn name="Gamepass Name" id="2"/>
    <tableColumn name="Price (Pesos)" id="3"/>
    <tableColumn name="Column 1" id="4"/>
    <tableColumn name="RS Bought" id="5"/>
    <tableColumn name="R AMOUNT" id="6"/>
  </tableColumns>
  <tableStyleInfo name="LOG BO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22.0"/>
    <col customWidth="1" min="3" max="3" width="13.29"/>
    <col customWidth="1" min="4" max="4" width="18.0"/>
    <col customWidth="1" min="5" max="5" width="29.0"/>
    <col customWidth="1" min="6" max="6" width="12.0"/>
    <col customWidth="1" min="7" max="7" width="24.71"/>
    <col customWidth="1" min="8" max="8" width="26.71"/>
    <col customWidth="1" min="9" max="9" width="20.0"/>
    <col customWidth="1" min="10" max="10" width="25.14"/>
    <col customWidth="1" min="11" max="11" width="22.57"/>
  </cols>
  <sheetData>
    <row r="1">
      <c r="A1" s="4" t="s">
        <v>0</v>
      </c>
      <c r="B1" s="7" t="s">
        <v>4</v>
      </c>
      <c r="C1" s="8" t="s">
        <v>11</v>
      </c>
      <c r="D1" s="7" t="s">
        <v>14</v>
      </c>
      <c r="E1" s="7" t="s">
        <v>17</v>
      </c>
      <c r="F1" s="7" t="s">
        <v>20</v>
      </c>
      <c r="G1" s="7" t="s">
        <v>23</v>
      </c>
      <c r="H1" s="11" t="s">
        <v>24</v>
      </c>
      <c r="I1" s="7" t="s">
        <v>27</v>
      </c>
      <c r="J1" s="5" t="s">
        <v>29</v>
      </c>
    </row>
    <row r="2">
      <c r="A2" s="12" t="s">
        <v>31</v>
      </c>
      <c r="B2" s="14"/>
      <c r="C2" s="17"/>
      <c r="I2" s="19">
        <v>290.0</v>
      </c>
      <c r="J2" s="21" t="s">
        <v>39</v>
      </c>
    </row>
    <row r="3">
      <c r="A3" s="23">
        <v>50.0</v>
      </c>
      <c r="B3" s="24"/>
      <c r="C3" s="25">
        <v>21.0</v>
      </c>
      <c r="D3" s="29">
        <f t="shared" ref="D3:D22" si="1">(A3/1000)*$I$2</f>
        <v>14.5</v>
      </c>
      <c r="E3" s="29">
        <f t="shared" ref="E3:E22" si="2">C3-D3</f>
        <v>6.5</v>
      </c>
      <c r="F3" s="32" t="str">
        <f t="shared" ref="F3:F22" si="3">IF(E3&lt;5,"Bad",IF(E3&lt;20,"Okay","Good"))</f>
        <v>Okay</v>
      </c>
      <c r="G3" s="29"/>
      <c r="H3" s="34"/>
      <c r="J3" s="35" t="s">
        <v>51</v>
      </c>
    </row>
    <row r="4">
      <c r="A4" s="23">
        <v>100.0</v>
      </c>
      <c r="B4" s="24"/>
      <c r="C4" s="25">
        <v>38.0</v>
      </c>
      <c r="D4" s="29">
        <f t="shared" si="1"/>
        <v>29</v>
      </c>
      <c r="E4" s="29">
        <f t="shared" si="2"/>
        <v>9</v>
      </c>
      <c r="F4" s="32" t="str">
        <f t="shared" si="3"/>
        <v>Okay</v>
      </c>
      <c r="G4" s="29"/>
      <c r="H4" s="34"/>
      <c r="J4" s="35"/>
    </row>
    <row r="5">
      <c r="A5" s="23">
        <v>150.0</v>
      </c>
      <c r="B5" s="24"/>
      <c r="C5" s="25">
        <v>58.0</v>
      </c>
      <c r="D5" s="29">
        <f t="shared" si="1"/>
        <v>43.5</v>
      </c>
      <c r="E5" s="29">
        <f t="shared" si="2"/>
        <v>14.5</v>
      </c>
      <c r="F5" s="32" t="str">
        <f t="shared" si="3"/>
        <v>Okay</v>
      </c>
      <c r="G5" s="36" t="s">
        <v>52</v>
      </c>
      <c r="H5" s="34"/>
      <c r="J5" s="35"/>
    </row>
    <row r="6">
      <c r="A6" s="23">
        <v>200.0</v>
      </c>
      <c r="B6" s="24"/>
      <c r="C6" s="25">
        <v>75.0</v>
      </c>
      <c r="D6" s="29">
        <f t="shared" si="1"/>
        <v>58</v>
      </c>
      <c r="E6" s="29">
        <f t="shared" si="2"/>
        <v>17</v>
      </c>
      <c r="F6" s="32" t="str">
        <f t="shared" si="3"/>
        <v>Okay</v>
      </c>
      <c r="G6" s="29"/>
      <c r="H6" s="34"/>
      <c r="J6" s="35"/>
    </row>
    <row r="7">
      <c r="A7" s="23">
        <v>250.0</v>
      </c>
      <c r="B7" s="24"/>
      <c r="C7" s="25">
        <v>95.0</v>
      </c>
      <c r="D7" s="29">
        <f t="shared" si="1"/>
        <v>72.5</v>
      </c>
      <c r="E7" s="29">
        <f t="shared" si="2"/>
        <v>22.5</v>
      </c>
      <c r="F7" s="32" t="str">
        <f t="shared" si="3"/>
        <v>Good</v>
      </c>
      <c r="G7" s="29"/>
      <c r="H7" s="34"/>
      <c r="J7" s="35"/>
    </row>
    <row r="8">
      <c r="A8" s="23">
        <v>300.0</v>
      </c>
      <c r="B8" s="24"/>
      <c r="C8" s="25">
        <v>105.0</v>
      </c>
      <c r="D8" s="37">
        <f t="shared" si="1"/>
        <v>87</v>
      </c>
      <c r="E8" s="37">
        <f t="shared" si="2"/>
        <v>18</v>
      </c>
      <c r="F8" s="32" t="str">
        <f t="shared" si="3"/>
        <v>Okay</v>
      </c>
      <c r="G8" s="37"/>
      <c r="H8" s="34"/>
      <c r="J8" s="35"/>
    </row>
    <row r="9">
      <c r="A9" s="23">
        <v>350.0</v>
      </c>
      <c r="B9" s="24"/>
      <c r="C9" s="25">
        <v>125.0</v>
      </c>
      <c r="D9" s="37">
        <f t="shared" si="1"/>
        <v>101.5</v>
      </c>
      <c r="E9" s="37">
        <f t="shared" si="2"/>
        <v>23.5</v>
      </c>
      <c r="F9" s="38" t="str">
        <f t="shared" si="3"/>
        <v>Good</v>
      </c>
      <c r="G9" s="37"/>
      <c r="H9" s="34"/>
      <c r="J9" s="35"/>
    </row>
    <row r="10">
      <c r="A10" s="14">
        <v>400.0</v>
      </c>
      <c r="C10" s="25">
        <v>140.0</v>
      </c>
      <c r="D10" s="39">
        <f t="shared" si="1"/>
        <v>116</v>
      </c>
      <c r="E10" s="39">
        <f t="shared" si="2"/>
        <v>24</v>
      </c>
      <c r="F10" s="5" t="str">
        <f t="shared" si="3"/>
        <v>Good</v>
      </c>
      <c r="G10" s="39"/>
      <c r="J10" s="35"/>
    </row>
    <row r="11">
      <c r="A11" s="40">
        <v>450.0</v>
      </c>
      <c r="C11" s="25">
        <v>160.0</v>
      </c>
      <c r="D11" s="39">
        <f t="shared" si="1"/>
        <v>130.5</v>
      </c>
      <c r="E11" s="39">
        <f t="shared" si="2"/>
        <v>29.5</v>
      </c>
      <c r="F11" s="5" t="str">
        <f t="shared" si="3"/>
        <v>Good</v>
      </c>
      <c r="G11" s="39"/>
      <c r="J11" s="35"/>
    </row>
    <row r="12">
      <c r="A12" s="41">
        <v>500.0</v>
      </c>
      <c r="C12" s="25">
        <v>180.0</v>
      </c>
      <c r="D12" s="39">
        <f t="shared" si="1"/>
        <v>145</v>
      </c>
      <c r="E12" s="39">
        <f t="shared" si="2"/>
        <v>35</v>
      </c>
      <c r="F12" s="5" t="str">
        <f t="shared" si="3"/>
        <v>Good</v>
      </c>
      <c r="G12" s="39"/>
      <c r="H12" s="5"/>
      <c r="J12" s="35"/>
    </row>
    <row r="13">
      <c r="A13" s="40">
        <v>550.0</v>
      </c>
      <c r="B13" s="5"/>
      <c r="C13" s="25">
        <v>195.0</v>
      </c>
      <c r="D13" s="39">
        <f t="shared" si="1"/>
        <v>159.5</v>
      </c>
      <c r="E13" s="39">
        <f t="shared" si="2"/>
        <v>35.5</v>
      </c>
      <c r="F13" s="5" t="str">
        <f t="shared" si="3"/>
        <v>Good</v>
      </c>
      <c r="G13" s="39"/>
      <c r="H13" s="5"/>
      <c r="J13" s="35"/>
    </row>
    <row r="14">
      <c r="A14" s="40">
        <v>600.0</v>
      </c>
      <c r="B14" s="5"/>
      <c r="C14" s="25">
        <v>215.0</v>
      </c>
      <c r="D14" s="39">
        <f t="shared" si="1"/>
        <v>174</v>
      </c>
      <c r="E14" s="39">
        <f t="shared" si="2"/>
        <v>41</v>
      </c>
      <c r="F14" s="5" t="str">
        <f t="shared" si="3"/>
        <v>Good</v>
      </c>
      <c r="G14" s="42" t="s">
        <v>54</v>
      </c>
      <c r="H14" s="5"/>
      <c r="J14" s="35"/>
    </row>
    <row r="15">
      <c r="A15" s="40">
        <v>650.0</v>
      </c>
      <c r="B15" s="5"/>
      <c r="C15" s="25">
        <v>230.0</v>
      </c>
      <c r="D15" s="39">
        <f t="shared" si="1"/>
        <v>188.5</v>
      </c>
      <c r="E15" s="39">
        <f t="shared" si="2"/>
        <v>41.5</v>
      </c>
      <c r="F15" s="5" t="str">
        <f t="shared" si="3"/>
        <v>Good</v>
      </c>
      <c r="G15" s="39"/>
      <c r="H15" s="5"/>
      <c r="J15" s="35"/>
    </row>
    <row r="16">
      <c r="A16" s="40">
        <v>700.0</v>
      </c>
      <c r="B16" s="5"/>
      <c r="C16" s="25">
        <v>250.0</v>
      </c>
      <c r="D16" s="39">
        <f t="shared" si="1"/>
        <v>203</v>
      </c>
      <c r="E16" s="39">
        <f t="shared" si="2"/>
        <v>47</v>
      </c>
      <c r="F16" s="5" t="str">
        <f t="shared" si="3"/>
        <v>Good</v>
      </c>
      <c r="G16" s="39"/>
      <c r="H16" s="5"/>
      <c r="J16" s="35"/>
    </row>
    <row r="17">
      <c r="A17" s="40">
        <v>750.0</v>
      </c>
      <c r="B17" s="5"/>
      <c r="C17" s="25">
        <v>265.0</v>
      </c>
      <c r="D17" s="39">
        <f t="shared" si="1"/>
        <v>217.5</v>
      </c>
      <c r="E17" s="39">
        <f t="shared" si="2"/>
        <v>47.5</v>
      </c>
      <c r="F17" s="5" t="str">
        <f t="shared" si="3"/>
        <v>Good</v>
      </c>
      <c r="G17" s="39"/>
      <c r="H17" s="5"/>
      <c r="J17" s="35"/>
    </row>
    <row r="18">
      <c r="A18" s="41">
        <v>800.0</v>
      </c>
      <c r="C18" s="25">
        <v>285.0</v>
      </c>
      <c r="D18" s="39">
        <f t="shared" si="1"/>
        <v>232</v>
      </c>
      <c r="E18" s="39">
        <f t="shared" si="2"/>
        <v>53</v>
      </c>
      <c r="F18" s="5" t="str">
        <f t="shared" si="3"/>
        <v>Good</v>
      </c>
      <c r="G18" s="39"/>
      <c r="J18" s="35"/>
    </row>
    <row r="19">
      <c r="A19" s="40">
        <v>850.0</v>
      </c>
      <c r="C19" s="25">
        <v>300.0</v>
      </c>
      <c r="D19" s="39">
        <f t="shared" si="1"/>
        <v>246.5</v>
      </c>
      <c r="E19" s="39">
        <f t="shared" si="2"/>
        <v>53.5</v>
      </c>
      <c r="F19" s="5" t="str">
        <f t="shared" si="3"/>
        <v>Good</v>
      </c>
      <c r="G19" s="39"/>
      <c r="J19" s="35"/>
    </row>
    <row r="20">
      <c r="A20" s="40">
        <v>900.0</v>
      </c>
      <c r="B20" s="5"/>
      <c r="C20" s="25">
        <v>320.0</v>
      </c>
      <c r="D20" s="39">
        <f t="shared" si="1"/>
        <v>261</v>
      </c>
      <c r="E20" s="39">
        <f t="shared" si="2"/>
        <v>59</v>
      </c>
      <c r="F20" s="5" t="str">
        <f t="shared" si="3"/>
        <v>Good</v>
      </c>
      <c r="G20" s="39"/>
      <c r="H20" s="5"/>
    </row>
    <row r="21" ht="15.75" customHeight="1">
      <c r="A21" s="40">
        <v>950.0</v>
      </c>
      <c r="B21" s="5"/>
      <c r="C21" s="25">
        <v>335.0</v>
      </c>
      <c r="D21" s="39">
        <f t="shared" si="1"/>
        <v>275.5</v>
      </c>
      <c r="E21" s="39">
        <f t="shared" si="2"/>
        <v>59.5</v>
      </c>
      <c r="F21" s="5" t="str">
        <f t="shared" si="3"/>
        <v>Good</v>
      </c>
      <c r="G21" s="39"/>
      <c r="H21" s="5"/>
    </row>
    <row r="22" ht="15.75" customHeight="1">
      <c r="A22" s="40">
        <v>1000.0</v>
      </c>
      <c r="B22" s="5"/>
      <c r="C22" s="25">
        <v>355.0</v>
      </c>
      <c r="D22" s="39">
        <f t="shared" si="1"/>
        <v>290</v>
      </c>
      <c r="E22" s="39">
        <f t="shared" si="2"/>
        <v>65</v>
      </c>
      <c r="F22" s="5" t="str">
        <f t="shared" si="3"/>
        <v>Good</v>
      </c>
      <c r="G22" s="39"/>
      <c r="H22" s="5"/>
    </row>
    <row r="23" ht="15.75" customHeight="1">
      <c r="A23" s="21"/>
      <c r="B23" s="21"/>
      <c r="C23" s="43"/>
      <c r="D23" s="21"/>
      <c r="E23" s="5"/>
      <c r="F23" s="5"/>
      <c r="G23" s="5"/>
      <c r="H23" s="5"/>
    </row>
    <row r="24" ht="15.75" customHeight="1">
      <c r="A24" s="48" t="s">
        <v>73</v>
      </c>
      <c r="B24" s="40" t="s">
        <v>76</v>
      </c>
      <c r="C24" s="43"/>
      <c r="D24" s="21"/>
      <c r="E24" s="5"/>
      <c r="F24" s="5"/>
      <c r="G24" s="21"/>
      <c r="H24" s="5"/>
    </row>
    <row r="25" ht="15.75" customHeight="1">
      <c r="A25" s="14">
        <v>5.0</v>
      </c>
      <c r="B25" s="51"/>
      <c r="C25" s="53">
        <v>2.0</v>
      </c>
      <c r="D25" s="21">
        <f t="shared" ref="D25:D34" si="4">(A25/1000)*$I$2</f>
        <v>1.45</v>
      </c>
      <c r="E25" s="5">
        <f t="shared" ref="E25:E34" si="5">C25-D25</f>
        <v>0.55</v>
      </c>
      <c r="F25" s="5" t="str">
        <f t="shared" ref="F25:F34" si="6">IF(E25&lt;5,"Bad",IF(E25&lt;20,"Okay","Good"))</f>
        <v>Bad</v>
      </c>
      <c r="G25" s="21"/>
    </row>
    <row r="26" ht="15.75" customHeight="1">
      <c r="A26" s="19">
        <v>10.0</v>
      </c>
      <c r="B26" s="51"/>
      <c r="C26" s="53">
        <v>4.0</v>
      </c>
      <c r="D26" s="21">
        <f t="shared" si="4"/>
        <v>2.9</v>
      </c>
      <c r="E26" s="5">
        <f t="shared" si="5"/>
        <v>1.1</v>
      </c>
      <c r="F26" s="5" t="str">
        <f t="shared" si="6"/>
        <v>Bad</v>
      </c>
      <c r="G26" s="21"/>
    </row>
    <row r="27" ht="15.75" customHeight="1">
      <c r="A27" s="19">
        <v>20.0</v>
      </c>
      <c r="B27" s="21"/>
      <c r="C27" s="53">
        <v>7.0</v>
      </c>
      <c r="D27" s="21">
        <f t="shared" si="4"/>
        <v>5.8</v>
      </c>
      <c r="E27" s="5">
        <f t="shared" si="5"/>
        <v>1.2</v>
      </c>
      <c r="F27" s="5" t="str">
        <f t="shared" si="6"/>
        <v>Bad</v>
      </c>
      <c r="G27" s="21"/>
      <c r="H27" s="5"/>
    </row>
    <row r="28" ht="15.75" customHeight="1">
      <c r="A28" s="19">
        <v>30.0</v>
      </c>
      <c r="B28" s="21"/>
      <c r="C28" s="53">
        <v>11.0</v>
      </c>
      <c r="D28" s="21">
        <f t="shared" si="4"/>
        <v>8.7</v>
      </c>
      <c r="E28" s="5">
        <f t="shared" si="5"/>
        <v>2.3</v>
      </c>
      <c r="F28" s="5" t="str">
        <f t="shared" si="6"/>
        <v>Bad</v>
      </c>
      <c r="G28" s="21"/>
      <c r="H28" s="5"/>
    </row>
    <row r="29" ht="15.75" customHeight="1">
      <c r="A29" s="19">
        <v>40.0</v>
      </c>
      <c r="B29" s="21"/>
      <c r="C29" s="53">
        <v>15.0</v>
      </c>
      <c r="D29" s="21">
        <f t="shared" si="4"/>
        <v>11.6</v>
      </c>
      <c r="E29" s="5">
        <f t="shared" si="5"/>
        <v>3.4</v>
      </c>
      <c r="F29" s="5" t="str">
        <f t="shared" si="6"/>
        <v>Bad</v>
      </c>
      <c r="G29" s="21"/>
      <c r="H29" s="5"/>
    </row>
    <row r="30" ht="15.75" customHeight="1">
      <c r="A30" s="19">
        <v>50.0</v>
      </c>
      <c r="B30" s="21"/>
      <c r="C30" s="53">
        <v>21.0</v>
      </c>
      <c r="D30" s="21">
        <f t="shared" si="4"/>
        <v>14.5</v>
      </c>
      <c r="E30" s="5">
        <f t="shared" si="5"/>
        <v>6.5</v>
      </c>
      <c r="F30" s="5" t="str">
        <f t="shared" si="6"/>
        <v>Okay</v>
      </c>
      <c r="G30" s="21"/>
      <c r="H30" s="5"/>
    </row>
    <row r="31" ht="15.75" customHeight="1">
      <c r="A31" s="19">
        <v>60.0</v>
      </c>
      <c r="B31" s="21"/>
      <c r="C31" s="53">
        <v>23.0</v>
      </c>
      <c r="D31" s="21">
        <f t="shared" si="4"/>
        <v>17.4</v>
      </c>
      <c r="E31" s="5">
        <f t="shared" si="5"/>
        <v>5.6</v>
      </c>
      <c r="F31" s="5" t="str">
        <f t="shared" si="6"/>
        <v>Okay</v>
      </c>
      <c r="G31" s="21"/>
      <c r="H31" s="5"/>
    </row>
    <row r="32" ht="15.75" customHeight="1">
      <c r="A32" s="19">
        <v>70.0</v>
      </c>
      <c r="B32" s="21"/>
      <c r="C32" s="53">
        <v>26.0</v>
      </c>
      <c r="D32" s="21">
        <f t="shared" si="4"/>
        <v>20.3</v>
      </c>
      <c r="E32" s="5">
        <f t="shared" si="5"/>
        <v>5.7</v>
      </c>
      <c r="F32" s="5" t="str">
        <f t="shared" si="6"/>
        <v>Okay</v>
      </c>
      <c r="G32" s="21"/>
      <c r="H32" s="5"/>
    </row>
    <row r="33" ht="15.75" customHeight="1">
      <c r="A33" s="19">
        <v>80.0</v>
      </c>
      <c r="B33" s="21"/>
      <c r="C33" s="53">
        <v>31.0</v>
      </c>
      <c r="D33" s="21">
        <f t="shared" si="4"/>
        <v>23.2</v>
      </c>
      <c r="E33" s="5">
        <f t="shared" si="5"/>
        <v>7.8</v>
      </c>
      <c r="F33" s="5" t="str">
        <f t="shared" si="6"/>
        <v>Okay</v>
      </c>
      <c r="G33" s="21"/>
      <c r="H33" s="5"/>
    </row>
    <row r="34" ht="15.75" customHeight="1">
      <c r="A34" s="19">
        <v>90.0</v>
      </c>
      <c r="B34" s="21"/>
      <c r="C34" s="53">
        <v>35.0</v>
      </c>
      <c r="D34" s="21">
        <f t="shared" si="4"/>
        <v>26.1</v>
      </c>
      <c r="E34" s="5">
        <f t="shared" si="5"/>
        <v>8.9</v>
      </c>
      <c r="F34" s="5" t="str">
        <f t="shared" si="6"/>
        <v>Okay</v>
      </c>
      <c r="G34" s="21"/>
      <c r="H34" s="5"/>
    </row>
    <row r="35" ht="15.75" customHeight="1">
      <c r="A35" s="5"/>
      <c r="B35" s="21"/>
      <c r="C35" s="43"/>
      <c r="D35" s="21"/>
      <c r="E35" s="5"/>
      <c r="F35" s="5"/>
      <c r="G35" s="21"/>
      <c r="H35" s="5"/>
    </row>
    <row r="36" ht="15.75" customHeight="1">
      <c r="A36" s="56" t="s">
        <v>80</v>
      </c>
      <c r="B36" s="34"/>
      <c r="C36" s="34"/>
      <c r="D36" s="57" t="str">
        <f t="shared" ref="D36:D53" si="7">(A36/1000)*$I$2</f>
        <v>#VALUE!</v>
      </c>
      <c r="E36" s="57" t="str">
        <f t="shared" ref="E36:E53" si="8">C36-D36</f>
        <v>#VALUE!</v>
      </c>
      <c r="F36" s="58" t="str">
        <f t="shared" ref="F36:F53" si="9">IF(E36&lt;5,"Bad",IF(E36&lt;20,"Okay","Good"))</f>
        <v>#VALUE!</v>
      </c>
      <c r="G36" s="59"/>
      <c r="H36" s="34"/>
    </row>
    <row r="37" ht="15.75" customHeight="1">
      <c r="A37" s="60">
        <v>149.0</v>
      </c>
      <c r="B37" s="61"/>
      <c r="C37" s="62">
        <v>55.0</v>
      </c>
      <c r="D37" s="24">
        <f t="shared" si="7"/>
        <v>43.21</v>
      </c>
      <c r="E37" s="24">
        <f t="shared" si="8"/>
        <v>11.79</v>
      </c>
      <c r="F37" s="63" t="str">
        <f t="shared" si="9"/>
        <v>Okay</v>
      </c>
      <c r="G37" s="59"/>
      <c r="H37" s="61" t="s">
        <v>81</v>
      </c>
    </row>
    <row r="38" ht="15.75" customHeight="1">
      <c r="A38" s="24">
        <v>119.0</v>
      </c>
      <c r="B38" s="61"/>
      <c r="C38" s="62">
        <v>45.0</v>
      </c>
      <c r="D38" s="24">
        <f t="shared" si="7"/>
        <v>34.51</v>
      </c>
      <c r="E38" s="24">
        <f t="shared" si="8"/>
        <v>10.49</v>
      </c>
      <c r="F38" s="64" t="str">
        <f t="shared" si="9"/>
        <v>Okay</v>
      </c>
      <c r="G38" s="59"/>
      <c r="H38" s="61" t="s">
        <v>82</v>
      </c>
    </row>
    <row r="39" ht="15.75" customHeight="1">
      <c r="A39" s="24">
        <v>109.0</v>
      </c>
      <c r="B39" s="61"/>
      <c r="C39" s="62">
        <v>40.0</v>
      </c>
      <c r="D39" s="24">
        <f t="shared" si="7"/>
        <v>31.61</v>
      </c>
      <c r="E39" s="24">
        <f t="shared" si="8"/>
        <v>8.39</v>
      </c>
      <c r="F39" s="63" t="str">
        <f t="shared" si="9"/>
        <v>Okay</v>
      </c>
      <c r="G39" s="59"/>
      <c r="H39" s="61" t="s">
        <v>83</v>
      </c>
    </row>
    <row r="40" ht="15.75" customHeight="1">
      <c r="A40" s="24">
        <v>89.0</v>
      </c>
      <c r="B40" s="61"/>
      <c r="C40" s="62">
        <v>35.0</v>
      </c>
      <c r="D40" s="24">
        <f t="shared" si="7"/>
        <v>25.81</v>
      </c>
      <c r="E40" s="24">
        <f t="shared" si="8"/>
        <v>9.19</v>
      </c>
      <c r="F40" s="63" t="str">
        <f t="shared" si="9"/>
        <v>Okay</v>
      </c>
      <c r="G40" s="59"/>
      <c r="H40" s="61" t="s">
        <v>84</v>
      </c>
    </row>
    <row r="41" ht="15.75" customHeight="1">
      <c r="A41" s="24">
        <v>499.0</v>
      </c>
      <c r="B41" s="61"/>
      <c r="C41" s="65">
        <v>175.0</v>
      </c>
      <c r="D41" s="24">
        <f t="shared" si="7"/>
        <v>144.71</v>
      </c>
      <c r="E41" s="24">
        <f t="shared" si="8"/>
        <v>30.29</v>
      </c>
      <c r="F41" s="63" t="str">
        <f t="shared" si="9"/>
        <v>Good</v>
      </c>
      <c r="G41" s="59"/>
      <c r="H41" s="61" t="s">
        <v>85</v>
      </c>
    </row>
    <row r="42" ht="15.75" customHeight="1">
      <c r="A42" s="24">
        <v>79.0</v>
      </c>
      <c r="B42" s="61"/>
      <c r="C42" s="62">
        <v>30.0</v>
      </c>
      <c r="D42" s="24">
        <f t="shared" si="7"/>
        <v>22.91</v>
      </c>
      <c r="E42" s="24">
        <f t="shared" si="8"/>
        <v>7.09</v>
      </c>
      <c r="F42" s="63" t="str">
        <f t="shared" si="9"/>
        <v>Okay</v>
      </c>
      <c r="G42" s="59"/>
      <c r="H42" s="61" t="s">
        <v>86</v>
      </c>
    </row>
    <row r="43" ht="15.75" customHeight="1">
      <c r="A43" s="60">
        <v>79.0</v>
      </c>
      <c r="B43" s="61"/>
      <c r="C43" s="65">
        <v>30.0</v>
      </c>
      <c r="D43" s="24">
        <f t="shared" si="7"/>
        <v>22.91</v>
      </c>
      <c r="E43" s="24">
        <f t="shared" si="8"/>
        <v>7.09</v>
      </c>
      <c r="F43" s="63" t="str">
        <f t="shared" si="9"/>
        <v>Okay</v>
      </c>
      <c r="G43" s="59"/>
      <c r="H43" s="61" t="s">
        <v>87</v>
      </c>
    </row>
    <row r="44" ht="15.75" customHeight="1">
      <c r="A44" s="24">
        <v>59.0</v>
      </c>
      <c r="B44" s="61"/>
      <c r="C44" s="65">
        <v>25.0</v>
      </c>
      <c r="D44" s="24">
        <f t="shared" si="7"/>
        <v>17.11</v>
      </c>
      <c r="E44" s="24">
        <f t="shared" si="8"/>
        <v>7.89</v>
      </c>
      <c r="F44" s="63" t="str">
        <f t="shared" si="9"/>
        <v>Okay</v>
      </c>
      <c r="G44" s="59"/>
      <c r="H44" s="61" t="s">
        <v>88</v>
      </c>
    </row>
    <row r="45" ht="15.75" customHeight="1">
      <c r="A45" s="24">
        <v>59.0</v>
      </c>
      <c r="B45" s="34"/>
      <c r="C45" s="65">
        <v>25.0</v>
      </c>
      <c r="D45" s="24">
        <f t="shared" si="7"/>
        <v>17.11</v>
      </c>
      <c r="E45" s="24">
        <f t="shared" si="8"/>
        <v>7.89</v>
      </c>
      <c r="F45" s="63" t="str">
        <f t="shared" si="9"/>
        <v>Okay</v>
      </c>
      <c r="G45" s="59"/>
      <c r="H45" s="34" t="s">
        <v>89</v>
      </c>
    </row>
    <row r="46" ht="15.75" customHeight="1">
      <c r="A46" s="24">
        <v>29.0</v>
      </c>
      <c r="B46" s="34"/>
      <c r="C46" s="65">
        <v>15.0</v>
      </c>
      <c r="D46" s="24">
        <f t="shared" si="7"/>
        <v>8.41</v>
      </c>
      <c r="E46" s="24">
        <f t="shared" si="8"/>
        <v>6.59</v>
      </c>
      <c r="F46" s="63" t="str">
        <f t="shared" si="9"/>
        <v>Okay</v>
      </c>
      <c r="G46" s="59"/>
      <c r="H46" s="34" t="s">
        <v>90</v>
      </c>
    </row>
    <row r="47" ht="15.75" customHeight="1">
      <c r="A47" s="24">
        <v>29.0</v>
      </c>
      <c r="B47" s="34"/>
      <c r="C47" s="62">
        <v>15.0</v>
      </c>
      <c r="D47" s="24">
        <f t="shared" si="7"/>
        <v>8.41</v>
      </c>
      <c r="E47" s="24">
        <f t="shared" si="8"/>
        <v>6.59</v>
      </c>
      <c r="F47" s="63" t="str">
        <f t="shared" si="9"/>
        <v>Okay</v>
      </c>
      <c r="G47" s="59"/>
      <c r="H47" s="34" t="s">
        <v>91</v>
      </c>
    </row>
    <row r="48" ht="15.75" customHeight="1">
      <c r="A48" s="24">
        <v>399.0</v>
      </c>
      <c r="B48" s="34"/>
      <c r="C48" s="65">
        <v>140.0</v>
      </c>
      <c r="D48" s="24">
        <f t="shared" si="7"/>
        <v>115.71</v>
      </c>
      <c r="E48" s="24">
        <f t="shared" si="8"/>
        <v>24.29</v>
      </c>
      <c r="F48" s="63" t="str">
        <f t="shared" si="9"/>
        <v>Good</v>
      </c>
      <c r="G48" s="59"/>
      <c r="H48" s="66" t="s">
        <v>92</v>
      </c>
    </row>
    <row r="49" ht="15.75" customHeight="1">
      <c r="A49" s="24">
        <v>99.0</v>
      </c>
      <c r="B49" s="34"/>
      <c r="C49" s="62">
        <v>40.0</v>
      </c>
      <c r="D49" s="24">
        <f t="shared" si="7"/>
        <v>28.71</v>
      </c>
      <c r="E49" s="24">
        <f t="shared" si="8"/>
        <v>11.29</v>
      </c>
      <c r="F49" s="63" t="str">
        <f t="shared" si="9"/>
        <v>Okay</v>
      </c>
      <c r="G49" s="59"/>
      <c r="H49" s="66" t="s">
        <v>93</v>
      </c>
    </row>
    <row r="50" ht="15.75" customHeight="1">
      <c r="A50" s="24">
        <v>59.0</v>
      </c>
      <c r="B50" s="34"/>
      <c r="C50" s="65">
        <v>25.0</v>
      </c>
      <c r="D50" s="24">
        <f t="shared" si="7"/>
        <v>17.11</v>
      </c>
      <c r="E50" s="24">
        <f t="shared" si="8"/>
        <v>7.89</v>
      </c>
      <c r="F50" s="63" t="str">
        <f t="shared" si="9"/>
        <v>Okay</v>
      </c>
      <c r="G50" s="59"/>
      <c r="H50" s="66" t="s">
        <v>94</v>
      </c>
    </row>
    <row r="51" ht="15.75" customHeight="1">
      <c r="A51" s="24">
        <v>35.0</v>
      </c>
      <c r="B51" s="34"/>
      <c r="C51" s="65">
        <v>15.0</v>
      </c>
      <c r="D51" s="24">
        <f t="shared" si="7"/>
        <v>10.15</v>
      </c>
      <c r="E51" s="24">
        <f t="shared" si="8"/>
        <v>4.85</v>
      </c>
      <c r="F51" s="63" t="str">
        <f t="shared" si="9"/>
        <v>Bad</v>
      </c>
      <c r="G51" s="59"/>
      <c r="H51" s="66" t="s">
        <v>95</v>
      </c>
    </row>
    <row r="52" ht="15.75" customHeight="1">
      <c r="A52" s="24">
        <v>18.0</v>
      </c>
      <c r="B52" s="67"/>
      <c r="C52" s="62">
        <v>6.0</v>
      </c>
      <c r="D52" s="24">
        <f t="shared" si="7"/>
        <v>5.22</v>
      </c>
      <c r="E52" s="24">
        <f t="shared" si="8"/>
        <v>0.78</v>
      </c>
      <c r="F52" s="63" t="str">
        <f t="shared" si="9"/>
        <v>Bad</v>
      </c>
      <c r="G52" s="59"/>
      <c r="H52" s="67">
        <v>5000000.0</v>
      </c>
    </row>
    <row r="53" ht="15.75" customHeight="1">
      <c r="A53" s="24">
        <v>9.0</v>
      </c>
      <c r="B53" s="67"/>
      <c r="C53" s="62">
        <v>4.0</v>
      </c>
      <c r="D53" s="24">
        <f t="shared" si="7"/>
        <v>2.61</v>
      </c>
      <c r="E53" s="24">
        <f t="shared" si="8"/>
        <v>1.39</v>
      </c>
      <c r="F53" s="63" t="str">
        <f t="shared" si="9"/>
        <v>Bad</v>
      </c>
      <c r="G53" s="59"/>
      <c r="H53" s="67">
        <v>1000000.0</v>
      </c>
    </row>
    <row r="54" ht="15.75" customHeight="1">
      <c r="A54" s="34"/>
      <c r="B54" s="34"/>
      <c r="C54" s="34"/>
      <c r="D54" s="34"/>
      <c r="E54" s="34"/>
      <c r="F54" s="63"/>
      <c r="G54" s="59"/>
      <c r="H54" s="34"/>
    </row>
    <row r="55" ht="15.75" customHeight="1">
      <c r="A55" s="68" t="s">
        <v>96</v>
      </c>
      <c r="B55" s="34"/>
      <c r="C55" s="34"/>
      <c r="D55" s="34"/>
      <c r="E55" s="34"/>
      <c r="F55" s="34"/>
      <c r="G55" s="66"/>
      <c r="H55" s="66"/>
    </row>
    <row r="56" ht="15.75" customHeight="1">
      <c r="A56" s="69">
        <v>139.0</v>
      </c>
      <c r="B56" s="70" t="s">
        <v>97</v>
      </c>
      <c r="C56" s="23">
        <v>55.0</v>
      </c>
      <c r="D56" s="24">
        <f t="shared" ref="D56:D73" si="10">(A56/1000)*$I$2</f>
        <v>40.31</v>
      </c>
      <c r="E56" s="24">
        <f t="shared" ref="E56:E73" si="11">C56-D56</f>
        <v>14.69</v>
      </c>
      <c r="F56" s="34" t="str">
        <f t="shared" ref="F56:F73" si="12">IF(E56&lt;5,"Bad",IF(E56&lt;20,"Okay","Good"))</f>
        <v>Okay</v>
      </c>
      <c r="G56" s="59"/>
      <c r="H56" s="70" t="s">
        <v>97</v>
      </c>
    </row>
    <row r="57" ht="15.75" customHeight="1">
      <c r="A57" s="69">
        <v>399.0</v>
      </c>
      <c r="B57" s="71" t="s">
        <v>98</v>
      </c>
      <c r="C57" s="23">
        <v>140.0</v>
      </c>
      <c r="D57" s="24">
        <f t="shared" si="10"/>
        <v>115.71</v>
      </c>
      <c r="E57" s="24">
        <f t="shared" si="11"/>
        <v>24.29</v>
      </c>
      <c r="F57" s="34" t="str">
        <f t="shared" si="12"/>
        <v>Good</v>
      </c>
      <c r="G57" s="59"/>
      <c r="H57" s="71" t="s">
        <v>98</v>
      </c>
    </row>
    <row r="58" ht="15.75" customHeight="1">
      <c r="A58" s="69">
        <v>249.0</v>
      </c>
      <c r="B58" s="70" t="s">
        <v>99</v>
      </c>
      <c r="C58" s="23">
        <v>95.0</v>
      </c>
      <c r="D58" s="24">
        <f t="shared" si="10"/>
        <v>72.21</v>
      </c>
      <c r="E58" s="24">
        <f t="shared" si="11"/>
        <v>22.79</v>
      </c>
      <c r="F58" s="34" t="str">
        <f t="shared" si="12"/>
        <v>Good</v>
      </c>
      <c r="G58" s="59"/>
      <c r="H58" s="70" t="s">
        <v>99</v>
      </c>
    </row>
    <row r="59" ht="15.75" customHeight="1">
      <c r="A59" s="69">
        <v>259.0</v>
      </c>
      <c r="B59" s="70" t="s">
        <v>100</v>
      </c>
      <c r="C59" s="23">
        <v>100.0</v>
      </c>
      <c r="D59" s="24">
        <f t="shared" si="10"/>
        <v>75.11</v>
      </c>
      <c r="E59" s="24">
        <f t="shared" si="11"/>
        <v>24.89</v>
      </c>
      <c r="F59" s="34" t="str">
        <f t="shared" si="12"/>
        <v>Good</v>
      </c>
      <c r="G59" s="59"/>
      <c r="H59" s="70" t="s">
        <v>100</v>
      </c>
    </row>
    <row r="60" ht="15.75" customHeight="1">
      <c r="A60" s="69">
        <v>99.0</v>
      </c>
      <c r="B60" s="70" t="s">
        <v>101</v>
      </c>
      <c r="C60" s="23">
        <v>40.0</v>
      </c>
      <c r="D60" s="24">
        <f t="shared" si="10"/>
        <v>28.71</v>
      </c>
      <c r="E60" s="24">
        <f t="shared" si="11"/>
        <v>11.29</v>
      </c>
      <c r="F60" s="34" t="str">
        <f t="shared" si="12"/>
        <v>Okay</v>
      </c>
      <c r="G60" s="59"/>
      <c r="H60" s="70" t="s">
        <v>101</v>
      </c>
    </row>
    <row r="61" ht="15.75" customHeight="1">
      <c r="A61" s="69">
        <v>189.0</v>
      </c>
      <c r="B61" s="70" t="s">
        <v>102</v>
      </c>
      <c r="C61" s="23">
        <v>75.0</v>
      </c>
      <c r="D61" s="24">
        <f t="shared" si="10"/>
        <v>54.81</v>
      </c>
      <c r="E61" s="24">
        <f t="shared" si="11"/>
        <v>20.19</v>
      </c>
      <c r="F61" s="34" t="str">
        <f t="shared" si="12"/>
        <v>Good</v>
      </c>
      <c r="G61" s="59"/>
      <c r="H61" s="70" t="s">
        <v>102</v>
      </c>
    </row>
    <row r="62" ht="15.75" customHeight="1">
      <c r="A62" s="69">
        <v>79.0</v>
      </c>
      <c r="B62" s="70" t="s">
        <v>103</v>
      </c>
      <c r="C62" s="23">
        <v>30.0</v>
      </c>
      <c r="D62" s="24">
        <f t="shared" si="10"/>
        <v>22.91</v>
      </c>
      <c r="E62" s="24">
        <f t="shared" si="11"/>
        <v>7.09</v>
      </c>
      <c r="F62" s="34" t="str">
        <f t="shared" si="12"/>
        <v>Okay</v>
      </c>
      <c r="G62" s="59"/>
      <c r="H62" s="70" t="s">
        <v>103</v>
      </c>
    </row>
    <row r="63" ht="15.75" customHeight="1">
      <c r="A63" s="69">
        <v>399.0</v>
      </c>
      <c r="B63" s="70" t="s">
        <v>104</v>
      </c>
      <c r="C63" s="23">
        <v>140.0</v>
      </c>
      <c r="D63" s="24">
        <f t="shared" si="10"/>
        <v>115.71</v>
      </c>
      <c r="E63" s="24">
        <f t="shared" si="11"/>
        <v>24.29</v>
      </c>
      <c r="F63" s="34" t="str">
        <f t="shared" si="12"/>
        <v>Good</v>
      </c>
      <c r="G63" s="59"/>
      <c r="H63" s="70" t="s">
        <v>104</v>
      </c>
    </row>
    <row r="64" ht="15.75" customHeight="1">
      <c r="A64" s="69">
        <v>169.0</v>
      </c>
      <c r="B64" s="70" t="s">
        <v>105</v>
      </c>
      <c r="C64" s="23">
        <v>67.0</v>
      </c>
      <c r="D64" s="24">
        <f t="shared" si="10"/>
        <v>49.01</v>
      </c>
      <c r="E64" s="24">
        <f t="shared" si="11"/>
        <v>17.99</v>
      </c>
      <c r="F64" s="34" t="str">
        <f t="shared" si="12"/>
        <v>Okay</v>
      </c>
      <c r="G64" s="59"/>
      <c r="H64" s="70" t="s">
        <v>105</v>
      </c>
    </row>
    <row r="65" ht="15.75" customHeight="1">
      <c r="A65" s="69">
        <v>269.0</v>
      </c>
      <c r="B65" s="72" t="s">
        <v>106</v>
      </c>
      <c r="C65" s="23">
        <v>102.0</v>
      </c>
      <c r="D65" s="24">
        <f t="shared" si="10"/>
        <v>78.01</v>
      </c>
      <c r="E65" s="24">
        <f t="shared" si="11"/>
        <v>23.99</v>
      </c>
      <c r="F65" s="34" t="str">
        <f t="shared" si="12"/>
        <v>Good</v>
      </c>
      <c r="G65" s="59"/>
      <c r="H65" s="72" t="s">
        <v>106</v>
      </c>
    </row>
    <row r="66" ht="15.75" customHeight="1">
      <c r="A66" s="69">
        <v>1999.0</v>
      </c>
      <c r="B66" s="70" t="s">
        <v>107</v>
      </c>
      <c r="C66" s="23">
        <v>710.0</v>
      </c>
      <c r="D66" s="24">
        <f t="shared" si="10"/>
        <v>579.71</v>
      </c>
      <c r="E66" s="24">
        <f t="shared" si="11"/>
        <v>130.29</v>
      </c>
      <c r="F66" s="34" t="str">
        <f t="shared" si="12"/>
        <v>Good</v>
      </c>
      <c r="G66" s="59"/>
      <c r="H66" s="70" t="s">
        <v>107</v>
      </c>
    </row>
    <row r="67" ht="15.75" customHeight="1">
      <c r="A67" s="69">
        <v>39.0</v>
      </c>
      <c r="B67" s="70" t="s">
        <v>108</v>
      </c>
      <c r="C67" s="24">
        <v>15.0</v>
      </c>
      <c r="D67" s="24">
        <f t="shared" si="10"/>
        <v>11.31</v>
      </c>
      <c r="E67" s="24">
        <f t="shared" si="11"/>
        <v>3.69</v>
      </c>
      <c r="F67" s="34" t="str">
        <f t="shared" si="12"/>
        <v>Bad</v>
      </c>
      <c r="G67" s="59"/>
      <c r="H67" s="70" t="s">
        <v>108</v>
      </c>
    </row>
    <row r="68" ht="15.75" customHeight="1">
      <c r="A68" s="69">
        <v>3699.0</v>
      </c>
      <c r="B68" s="70" t="s">
        <v>109</v>
      </c>
      <c r="C68" s="23">
        <v>1315.0</v>
      </c>
      <c r="D68" s="24">
        <f t="shared" si="10"/>
        <v>1072.71</v>
      </c>
      <c r="E68" s="24">
        <f t="shared" si="11"/>
        <v>242.29</v>
      </c>
      <c r="F68" s="34" t="str">
        <f t="shared" si="12"/>
        <v>Good</v>
      </c>
      <c r="G68" s="59"/>
      <c r="H68" s="70" t="s">
        <v>109</v>
      </c>
    </row>
    <row r="69" ht="15.75" customHeight="1">
      <c r="A69" s="69">
        <v>79.0</v>
      </c>
      <c r="B69" s="70" t="s">
        <v>110</v>
      </c>
      <c r="C69" s="23">
        <v>31.0</v>
      </c>
      <c r="D69" s="24">
        <f t="shared" si="10"/>
        <v>22.91</v>
      </c>
      <c r="E69" s="24">
        <f t="shared" si="11"/>
        <v>8.09</v>
      </c>
      <c r="F69" s="34" t="str">
        <f t="shared" si="12"/>
        <v>Okay</v>
      </c>
      <c r="G69" s="59"/>
      <c r="H69" s="70" t="s">
        <v>110</v>
      </c>
    </row>
    <row r="70" ht="15.75" customHeight="1">
      <c r="A70" s="69">
        <v>999.0</v>
      </c>
      <c r="B70" s="70" t="s">
        <v>111</v>
      </c>
      <c r="C70" s="23">
        <v>355.0</v>
      </c>
      <c r="D70" s="24">
        <f t="shared" si="10"/>
        <v>289.71</v>
      </c>
      <c r="E70" s="24">
        <f t="shared" si="11"/>
        <v>65.29</v>
      </c>
      <c r="F70" s="34" t="str">
        <f t="shared" si="12"/>
        <v>Good</v>
      </c>
      <c r="G70" s="59"/>
      <c r="H70" s="70" t="s">
        <v>111</v>
      </c>
    </row>
    <row r="71" ht="15.75" customHeight="1">
      <c r="A71" s="69">
        <v>399.0</v>
      </c>
      <c r="B71" s="70" t="s">
        <v>112</v>
      </c>
      <c r="C71" s="23">
        <v>140.0</v>
      </c>
      <c r="D71" s="24">
        <f t="shared" si="10"/>
        <v>115.71</v>
      </c>
      <c r="E71" s="24">
        <f t="shared" si="11"/>
        <v>24.29</v>
      </c>
      <c r="F71" s="34" t="str">
        <f t="shared" si="12"/>
        <v>Good</v>
      </c>
      <c r="G71" s="59"/>
      <c r="H71" s="70" t="s">
        <v>112</v>
      </c>
    </row>
    <row r="72" ht="15.75" customHeight="1">
      <c r="A72" s="69">
        <v>169.0</v>
      </c>
      <c r="B72" s="70" t="s">
        <v>113</v>
      </c>
      <c r="C72" s="65">
        <v>67.0</v>
      </c>
      <c r="D72" s="24">
        <f t="shared" si="10"/>
        <v>49.01</v>
      </c>
      <c r="E72" s="24">
        <f t="shared" si="11"/>
        <v>17.99</v>
      </c>
      <c r="F72" s="34" t="str">
        <f t="shared" si="12"/>
        <v>Okay</v>
      </c>
      <c r="G72" s="73"/>
      <c r="H72" s="70" t="s">
        <v>113</v>
      </c>
    </row>
    <row r="73" ht="15.75" customHeight="1">
      <c r="A73" s="69">
        <v>45.0</v>
      </c>
      <c r="B73" s="70" t="s">
        <v>114</v>
      </c>
      <c r="C73" s="23">
        <v>17.0</v>
      </c>
      <c r="D73" s="24">
        <f t="shared" si="10"/>
        <v>13.05</v>
      </c>
      <c r="E73" s="24">
        <f t="shared" si="11"/>
        <v>3.95</v>
      </c>
      <c r="F73" s="34" t="str">
        <f t="shared" si="12"/>
        <v>Bad</v>
      </c>
      <c r="G73" s="59"/>
      <c r="H73" s="70" t="s">
        <v>114</v>
      </c>
    </row>
    <row r="74" ht="15.75" customHeight="1">
      <c r="A74" s="5"/>
      <c r="B74" s="5"/>
      <c r="C74" s="52"/>
      <c r="D74" s="5"/>
      <c r="E74" s="5"/>
      <c r="F74" s="5"/>
      <c r="G74" s="21"/>
      <c r="H74" s="5"/>
    </row>
    <row r="75" ht="15.75" customHeight="1">
      <c r="A75" s="34" t="s">
        <v>115</v>
      </c>
      <c r="B75" s="34"/>
      <c r="C75" s="34"/>
      <c r="D75" s="34"/>
      <c r="E75" s="34"/>
      <c r="F75" s="34"/>
      <c r="G75" s="21"/>
      <c r="H75" s="5"/>
    </row>
    <row r="76" ht="15.75" customHeight="1">
      <c r="A76" s="68" t="s">
        <v>116</v>
      </c>
      <c r="B76" s="34"/>
      <c r="C76" s="34"/>
      <c r="D76" s="34"/>
      <c r="E76" s="34"/>
      <c r="F76" s="34"/>
      <c r="G76" s="21"/>
      <c r="H76" s="5"/>
    </row>
    <row r="77" ht="15.75" customHeight="1">
      <c r="A77" s="24">
        <v>143.0</v>
      </c>
      <c r="B77" s="24">
        <v>100.0</v>
      </c>
      <c r="C77" s="23">
        <v>50.0</v>
      </c>
      <c r="D77" s="24">
        <f t="shared" ref="D77:D84" si="13">(A77/1000)*$I$2</f>
        <v>41.47</v>
      </c>
      <c r="E77" s="24">
        <f t="shared" ref="E77:E84" si="14">C77-D77</f>
        <v>8.53</v>
      </c>
      <c r="F77" s="34" t="str">
        <f t="shared" ref="F77:F93" si="15">IF(E77&lt;5,"Bad",IF(E77&lt;20,"Okay","Good"))</f>
        <v>Okay</v>
      </c>
      <c r="G77" s="21"/>
      <c r="H77" s="21"/>
    </row>
    <row r="78" ht="15.75" customHeight="1">
      <c r="A78" s="24">
        <v>286.0</v>
      </c>
      <c r="B78" s="24">
        <v>200.0</v>
      </c>
      <c r="C78" s="23">
        <v>95.0</v>
      </c>
      <c r="D78" s="24">
        <f t="shared" si="13"/>
        <v>82.94</v>
      </c>
      <c r="E78" s="24">
        <f t="shared" si="14"/>
        <v>12.06</v>
      </c>
      <c r="F78" s="34" t="str">
        <f t="shared" si="15"/>
        <v>Okay</v>
      </c>
      <c r="G78" s="21"/>
      <c r="H78" s="21"/>
    </row>
    <row r="79" ht="15.75" customHeight="1">
      <c r="A79" s="24">
        <v>429.0</v>
      </c>
      <c r="B79" s="24">
        <v>300.0</v>
      </c>
      <c r="C79" s="23">
        <v>140.0</v>
      </c>
      <c r="D79" s="24">
        <f t="shared" si="13"/>
        <v>124.41</v>
      </c>
      <c r="E79" s="24">
        <f t="shared" si="14"/>
        <v>15.59</v>
      </c>
      <c r="F79" s="34" t="str">
        <f t="shared" si="15"/>
        <v>Okay</v>
      </c>
      <c r="G79" s="21"/>
      <c r="H79" s="21"/>
    </row>
    <row r="80" ht="15.75" customHeight="1">
      <c r="A80" s="24">
        <v>572.0</v>
      </c>
      <c r="B80" s="24">
        <v>400.0</v>
      </c>
      <c r="C80" s="23">
        <v>185.0</v>
      </c>
      <c r="D80" s="24">
        <f t="shared" si="13"/>
        <v>165.88</v>
      </c>
      <c r="E80" s="24">
        <f t="shared" si="14"/>
        <v>19.12</v>
      </c>
      <c r="F80" s="34" t="str">
        <f t="shared" si="15"/>
        <v>Okay</v>
      </c>
      <c r="G80" s="21"/>
      <c r="H80" s="21"/>
    </row>
    <row r="81" ht="15.75" customHeight="1">
      <c r="A81" s="24">
        <v>715.0</v>
      </c>
      <c r="B81" s="24">
        <v>500.0</v>
      </c>
      <c r="C81" s="23">
        <v>230.0</v>
      </c>
      <c r="D81" s="24">
        <f t="shared" si="13"/>
        <v>207.35</v>
      </c>
      <c r="E81" s="24">
        <f t="shared" si="14"/>
        <v>22.65</v>
      </c>
      <c r="F81" s="34" t="str">
        <f t="shared" si="15"/>
        <v>Good</v>
      </c>
      <c r="G81" s="21"/>
      <c r="H81" s="74"/>
    </row>
    <row r="82" ht="15.75" customHeight="1">
      <c r="A82" s="24">
        <v>858.0</v>
      </c>
      <c r="B82" s="60">
        <v>600.0</v>
      </c>
      <c r="C82" s="23">
        <v>280.0</v>
      </c>
      <c r="D82" s="24">
        <f t="shared" si="13"/>
        <v>248.82</v>
      </c>
      <c r="E82" s="24">
        <f t="shared" si="14"/>
        <v>31.18</v>
      </c>
      <c r="F82" s="34" t="str">
        <f t="shared" si="15"/>
        <v>Good</v>
      </c>
      <c r="G82" s="21"/>
      <c r="H82" s="74"/>
    </row>
    <row r="83" ht="15.75" customHeight="1">
      <c r="A83" s="24">
        <v>1143.0</v>
      </c>
      <c r="B83" s="60">
        <v>800.0</v>
      </c>
      <c r="C83" s="23">
        <v>370.0</v>
      </c>
      <c r="D83" s="60">
        <f t="shared" si="13"/>
        <v>331.47</v>
      </c>
      <c r="E83" s="60">
        <f t="shared" si="14"/>
        <v>38.53</v>
      </c>
      <c r="F83" s="34" t="str">
        <f t="shared" si="15"/>
        <v>Good</v>
      </c>
      <c r="G83" s="21"/>
    </row>
    <row r="84" ht="15.75" customHeight="1">
      <c r="A84" s="24">
        <v>1429.0</v>
      </c>
      <c r="B84" s="60">
        <v>1000.0</v>
      </c>
      <c r="C84" s="23">
        <v>455.0</v>
      </c>
      <c r="D84" s="60">
        <f t="shared" si="13"/>
        <v>414.41</v>
      </c>
      <c r="E84" s="60">
        <f t="shared" si="14"/>
        <v>40.59</v>
      </c>
      <c r="F84" s="34" t="str">
        <f t="shared" si="15"/>
        <v>Good</v>
      </c>
      <c r="G84" s="21"/>
    </row>
    <row r="85" ht="15.75" customHeight="1">
      <c r="A85" s="75" t="s">
        <v>117</v>
      </c>
      <c r="B85" s="34"/>
      <c r="C85" s="34"/>
      <c r="D85" s="34"/>
      <c r="E85" s="34"/>
      <c r="F85" s="34" t="str">
        <f t="shared" si="15"/>
        <v>Bad</v>
      </c>
      <c r="G85" s="21"/>
      <c r="H85" s="5"/>
    </row>
    <row r="86" ht="15.75" customHeight="1">
      <c r="A86" s="24">
        <v>100.0</v>
      </c>
      <c r="B86" s="24">
        <v>100.0</v>
      </c>
      <c r="C86" s="24">
        <v>35.0</v>
      </c>
      <c r="D86" s="24">
        <f t="shared" ref="D86:D93" si="16">(A86/1000)*$I$2</f>
        <v>29</v>
      </c>
      <c r="E86" s="24">
        <f t="shared" ref="E86:E93" si="17">C86-D86</f>
        <v>6</v>
      </c>
      <c r="F86" s="34" t="str">
        <f t="shared" si="15"/>
        <v>Okay</v>
      </c>
      <c r="G86" s="21"/>
      <c r="H86" s="5"/>
    </row>
    <row r="87" ht="15.75" customHeight="1">
      <c r="A87" s="24">
        <v>200.0</v>
      </c>
      <c r="B87" s="24">
        <v>200.0</v>
      </c>
      <c r="C87" s="23">
        <v>70.0</v>
      </c>
      <c r="D87" s="24">
        <f t="shared" si="16"/>
        <v>58</v>
      </c>
      <c r="E87" s="24">
        <f t="shared" si="17"/>
        <v>12</v>
      </c>
      <c r="F87" s="34" t="str">
        <f t="shared" si="15"/>
        <v>Okay</v>
      </c>
      <c r="G87" s="21"/>
      <c r="H87" s="5"/>
    </row>
    <row r="88" ht="15.75" customHeight="1">
      <c r="A88" s="24">
        <v>300.0</v>
      </c>
      <c r="B88" s="24">
        <v>300.0</v>
      </c>
      <c r="C88" s="23">
        <v>105.0</v>
      </c>
      <c r="D88" s="24">
        <f t="shared" si="16"/>
        <v>87</v>
      </c>
      <c r="E88" s="24">
        <f t="shared" si="17"/>
        <v>18</v>
      </c>
      <c r="F88" s="34" t="str">
        <f t="shared" si="15"/>
        <v>Okay</v>
      </c>
      <c r="G88" s="21"/>
      <c r="H88" s="5"/>
    </row>
    <row r="89" ht="15.75" customHeight="1">
      <c r="A89" s="24">
        <v>400.0</v>
      </c>
      <c r="B89" s="24">
        <v>400.0</v>
      </c>
      <c r="C89" s="23">
        <v>140.0</v>
      </c>
      <c r="D89" s="24">
        <f t="shared" si="16"/>
        <v>116</v>
      </c>
      <c r="E89" s="24">
        <f t="shared" si="17"/>
        <v>24</v>
      </c>
      <c r="F89" s="34" t="str">
        <f t="shared" si="15"/>
        <v>Good</v>
      </c>
      <c r="G89" s="21"/>
      <c r="H89" s="5"/>
    </row>
    <row r="90" ht="15.75" customHeight="1">
      <c r="A90" s="24">
        <v>500.0</v>
      </c>
      <c r="B90" s="24">
        <v>500.0</v>
      </c>
      <c r="C90" s="23">
        <v>170.0</v>
      </c>
      <c r="D90" s="24">
        <f t="shared" si="16"/>
        <v>145</v>
      </c>
      <c r="E90" s="24">
        <f t="shared" si="17"/>
        <v>25</v>
      </c>
      <c r="F90" s="34" t="str">
        <f t="shared" si="15"/>
        <v>Good</v>
      </c>
      <c r="G90" s="21"/>
      <c r="H90" s="21"/>
    </row>
    <row r="91" ht="15.75" customHeight="1">
      <c r="A91" s="24">
        <v>600.0</v>
      </c>
      <c r="B91" s="24">
        <v>600.0</v>
      </c>
      <c r="C91" s="23">
        <v>195.0</v>
      </c>
      <c r="D91" s="24">
        <f t="shared" si="16"/>
        <v>174</v>
      </c>
      <c r="E91" s="24">
        <f t="shared" si="17"/>
        <v>21</v>
      </c>
      <c r="F91" s="34" t="str">
        <f t="shared" si="15"/>
        <v>Good</v>
      </c>
      <c r="G91" s="21"/>
      <c r="H91" s="21"/>
    </row>
    <row r="92" ht="15.75" customHeight="1">
      <c r="A92" s="24">
        <v>800.0</v>
      </c>
      <c r="B92" s="24">
        <v>800.0</v>
      </c>
      <c r="C92" s="23">
        <v>275.0</v>
      </c>
      <c r="D92" s="24">
        <f t="shared" si="16"/>
        <v>232</v>
      </c>
      <c r="E92" s="24">
        <f t="shared" si="17"/>
        <v>43</v>
      </c>
      <c r="F92" s="34" t="str">
        <f t="shared" si="15"/>
        <v>Good</v>
      </c>
      <c r="G92" s="21"/>
      <c r="H92" s="21"/>
    </row>
    <row r="93" ht="15.75" customHeight="1">
      <c r="A93" s="24">
        <v>1000.0</v>
      </c>
      <c r="B93" s="24">
        <v>1000.0</v>
      </c>
      <c r="C93" s="23">
        <v>350.0</v>
      </c>
      <c r="D93" s="24">
        <f t="shared" si="16"/>
        <v>290</v>
      </c>
      <c r="E93" s="24">
        <f t="shared" si="17"/>
        <v>60</v>
      </c>
      <c r="F93" s="34" t="str">
        <f t="shared" si="15"/>
        <v>Good</v>
      </c>
      <c r="G93" s="21"/>
      <c r="H93" s="21"/>
    </row>
    <row r="94" ht="15.75" customHeight="1">
      <c r="A94" s="76"/>
      <c r="B94" s="76"/>
      <c r="C94" s="76"/>
      <c r="D94" s="76"/>
      <c r="E94" s="76"/>
      <c r="F94" s="76"/>
      <c r="G94" s="21"/>
      <c r="H94" s="21"/>
    </row>
    <row r="95" ht="15.75" customHeight="1">
      <c r="A95" s="63" t="s">
        <v>118</v>
      </c>
      <c r="B95" s="63"/>
      <c r="C95" s="63"/>
      <c r="D95" s="63"/>
      <c r="E95" s="63"/>
      <c r="F95" s="63"/>
      <c r="G95" s="66"/>
      <c r="H95" s="34"/>
    </row>
    <row r="96" ht="15.75" customHeight="1">
      <c r="A96" s="77">
        <v>100.0</v>
      </c>
      <c r="B96" s="77">
        <v>100.0</v>
      </c>
      <c r="C96" s="77">
        <v>50.0</v>
      </c>
      <c r="D96" s="77">
        <f t="shared" ref="D96:D105" si="18">(A96/1000)*$I$2</f>
        <v>29</v>
      </c>
      <c r="E96" s="77">
        <f t="shared" ref="E96:E105" si="19">C96-D96</f>
        <v>21</v>
      </c>
      <c r="F96" s="63" t="str">
        <f t="shared" ref="F96:F105" si="20">IF(E96&lt;5,"Bad",IF(E96&lt;20,"Okay","Good"))</f>
        <v>Good</v>
      </c>
      <c r="G96" s="66"/>
      <c r="H96" s="34"/>
    </row>
    <row r="97" ht="15.75" customHeight="1">
      <c r="A97" s="77">
        <v>200.0</v>
      </c>
      <c r="B97" s="77">
        <v>200.0</v>
      </c>
      <c r="C97" s="77">
        <v>90.0</v>
      </c>
      <c r="D97" s="77">
        <f t="shared" si="18"/>
        <v>58</v>
      </c>
      <c r="E97" s="77">
        <f t="shared" si="19"/>
        <v>32</v>
      </c>
      <c r="F97" s="63" t="str">
        <f t="shared" si="20"/>
        <v>Good</v>
      </c>
      <c r="G97" s="66"/>
      <c r="H97" s="34"/>
    </row>
    <row r="98" ht="15.75" customHeight="1">
      <c r="A98" s="77">
        <v>300.0</v>
      </c>
      <c r="B98" s="77">
        <v>300.0</v>
      </c>
      <c r="C98" s="77">
        <v>135.0</v>
      </c>
      <c r="D98" s="77">
        <f t="shared" si="18"/>
        <v>87</v>
      </c>
      <c r="E98" s="77">
        <f t="shared" si="19"/>
        <v>48</v>
      </c>
      <c r="F98" s="63" t="str">
        <f t="shared" si="20"/>
        <v>Good</v>
      </c>
      <c r="G98" s="66"/>
      <c r="H98" s="34"/>
    </row>
    <row r="99" ht="15.75" customHeight="1">
      <c r="A99" s="77">
        <v>400.0</v>
      </c>
      <c r="B99" s="77">
        <v>400.0</v>
      </c>
      <c r="C99" s="77">
        <v>185.0</v>
      </c>
      <c r="D99" s="77">
        <f t="shared" si="18"/>
        <v>116</v>
      </c>
      <c r="E99" s="77">
        <f t="shared" si="19"/>
        <v>69</v>
      </c>
      <c r="F99" s="63" t="str">
        <f t="shared" si="20"/>
        <v>Good</v>
      </c>
      <c r="G99" s="66"/>
      <c r="H99" s="34"/>
    </row>
    <row r="100" ht="15.75" customHeight="1">
      <c r="A100" s="77">
        <v>500.0</v>
      </c>
      <c r="B100" s="77">
        <v>500.0</v>
      </c>
      <c r="C100" s="77">
        <v>230.0</v>
      </c>
      <c r="D100" s="77">
        <f t="shared" si="18"/>
        <v>145</v>
      </c>
      <c r="E100" s="77">
        <f t="shared" si="19"/>
        <v>85</v>
      </c>
      <c r="F100" s="63" t="str">
        <f t="shared" si="20"/>
        <v>Good</v>
      </c>
      <c r="G100" s="66"/>
      <c r="H100" s="34"/>
    </row>
    <row r="101" ht="15.75" customHeight="1">
      <c r="A101" s="77">
        <v>600.0</v>
      </c>
      <c r="B101" s="77">
        <v>600.0</v>
      </c>
      <c r="C101" s="77">
        <v>275.0</v>
      </c>
      <c r="D101" s="77">
        <f t="shared" si="18"/>
        <v>174</v>
      </c>
      <c r="E101" s="77">
        <f t="shared" si="19"/>
        <v>101</v>
      </c>
      <c r="F101" s="63" t="str">
        <f t="shared" si="20"/>
        <v>Good</v>
      </c>
      <c r="G101" s="66"/>
      <c r="H101" s="34"/>
    </row>
    <row r="102" ht="15.75" customHeight="1">
      <c r="A102" s="77">
        <v>700.0</v>
      </c>
      <c r="B102" s="77">
        <v>900.0</v>
      </c>
      <c r="C102" s="77">
        <v>320.0</v>
      </c>
      <c r="D102" s="77">
        <f t="shared" si="18"/>
        <v>203</v>
      </c>
      <c r="E102" s="77">
        <f t="shared" si="19"/>
        <v>117</v>
      </c>
      <c r="F102" s="63" t="str">
        <f t="shared" si="20"/>
        <v>Good</v>
      </c>
      <c r="G102" s="66"/>
      <c r="H102" s="34"/>
    </row>
    <row r="103" ht="15.75" customHeight="1">
      <c r="A103" s="77">
        <v>800.0</v>
      </c>
      <c r="B103" s="77">
        <v>1000.0</v>
      </c>
      <c r="C103" s="77">
        <v>365.0</v>
      </c>
      <c r="D103" s="77">
        <f t="shared" si="18"/>
        <v>232</v>
      </c>
      <c r="E103" s="77">
        <f t="shared" si="19"/>
        <v>133</v>
      </c>
      <c r="F103" s="63" t="str">
        <f t="shared" si="20"/>
        <v>Good</v>
      </c>
      <c r="G103" s="66"/>
      <c r="H103" s="34"/>
    </row>
    <row r="104" ht="15.75" customHeight="1">
      <c r="A104" s="77">
        <v>900.0</v>
      </c>
      <c r="B104" s="77">
        <v>900.0</v>
      </c>
      <c r="C104" s="77">
        <v>410.0</v>
      </c>
      <c r="D104" s="77">
        <f t="shared" si="18"/>
        <v>261</v>
      </c>
      <c r="E104" s="77">
        <f t="shared" si="19"/>
        <v>149</v>
      </c>
      <c r="F104" s="63" t="str">
        <f t="shared" si="20"/>
        <v>Good</v>
      </c>
      <c r="G104" s="66"/>
      <c r="H104" s="34"/>
    </row>
    <row r="105" ht="15.75" customHeight="1">
      <c r="A105" s="77">
        <v>1000.0</v>
      </c>
      <c r="B105" s="77">
        <v>1000.0</v>
      </c>
      <c r="C105" s="77">
        <v>450.0</v>
      </c>
      <c r="D105" s="77">
        <f t="shared" si="18"/>
        <v>290</v>
      </c>
      <c r="E105" s="77">
        <f t="shared" si="19"/>
        <v>160</v>
      </c>
      <c r="F105" s="63" t="str">
        <f t="shared" si="20"/>
        <v>Good</v>
      </c>
      <c r="G105" s="66"/>
      <c r="H105" s="34"/>
    </row>
    <row r="106" ht="15.75" customHeight="1">
      <c r="A106" s="5"/>
      <c r="B106" s="5"/>
      <c r="C106" s="78"/>
      <c r="D106" s="5"/>
      <c r="E106" s="5"/>
      <c r="F106" s="5"/>
      <c r="G106" s="21"/>
      <c r="H106" s="21"/>
    </row>
    <row r="107" ht="15.75" customHeight="1">
      <c r="A107" s="79" t="s">
        <v>119</v>
      </c>
      <c r="B107" s="66"/>
      <c r="C107" s="66"/>
      <c r="D107" s="66"/>
      <c r="E107" s="34"/>
      <c r="F107" s="34"/>
      <c r="G107" s="66"/>
      <c r="H107" s="34"/>
    </row>
    <row r="108" ht="15.75" customHeight="1">
      <c r="A108" s="24">
        <v>150.0</v>
      </c>
      <c r="B108" s="24">
        <v>300.0</v>
      </c>
      <c r="C108" s="23">
        <v>60.0</v>
      </c>
      <c r="D108" s="24">
        <f>(A108/1000)*$I$2</f>
        <v>43.5</v>
      </c>
      <c r="E108" s="24">
        <f>C108-D108</f>
        <v>16.5</v>
      </c>
      <c r="F108" s="38" t="str">
        <f>IF(E108&lt;5,"Bad",IF(E108&lt;20,"Okay","Good"))</f>
        <v>Okay</v>
      </c>
      <c r="G108" s="66"/>
      <c r="H108" s="34" t="s">
        <v>120</v>
      </c>
    </row>
    <row r="109" ht="15.75" customHeight="1">
      <c r="A109" s="5"/>
      <c r="B109" s="5"/>
      <c r="C109" s="78"/>
      <c r="D109" s="5"/>
      <c r="E109" s="5"/>
      <c r="F109" s="5"/>
      <c r="G109" s="21"/>
      <c r="H109" s="21"/>
    </row>
    <row r="110" ht="15.75" customHeight="1">
      <c r="A110" s="68" t="s">
        <v>121</v>
      </c>
      <c r="B110" s="34"/>
      <c r="C110" s="80"/>
      <c r="D110" s="34"/>
      <c r="E110" s="34"/>
      <c r="F110" s="34"/>
      <c r="G110" s="66"/>
      <c r="H110" s="66"/>
    </row>
    <row r="111" ht="15.75" customHeight="1">
      <c r="A111" s="81">
        <v>499.0</v>
      </c>
      <c r="B111" s="71" t="s">
        <v>122</v>
      </c>
      <c r="C111" s="82">
        <v>180.0</v>
      </c>
      <c r="D111" s="24">
        <f t="shared" ref="D111:D117" si="21">(A111/1000)*$I$2</f>
        <v>144.71</v>
      </c>
      <c r="E111" s="24">
        <f t="shared" ref="E111:E117" si="22">C111-D111</f>
        <v>35.29</v>
      </c>
      <c r="F111" s="55" t="str">
        <f t="shared" ref="F111:F117" si="23">IF(E111&lt;5,"Bad",IF(E111&lt;20,"Okay","Good"))</f>
        <v>Good</v>
      </c>
      <c r="G111" s="59"/>
      <c r="H111" s="71" t="s">
        <v>122</v>
      </c>
    </row>
    <row r="112" ht="15.75" customHeight="1">
      <c r="A112" s="81">
        <v>299.0</v>
      </c>
      <c r="B112" s="71" t="s">
        <v>123</v>
      </c>
      <c r="C112" s="82">
        <v>105.0</v>
      </c>
      <c r="D112" s="24">
        <f t="shared" si="21"/>
        <v>86.71</v>
      </c>
      <c r="E112" s="24">
        <f t="shared" si="22"/>
        <v>18.29</v>
      </c>
      <c r="F112" s="38" t="str">
        <f t="shared" si="23"/>
        <v>Okay</v>
      </c>
      <c r="G112" s="59"/>
      <c r="H112" s="71" t="s">
        <v>123</v>
      </c>
    </row>
    <row r="113" ht="15.75" customHeight="1">
      <c r="A113" s="81">
        <v>749.0</v>
      </c>
      <c r="B113" s="83" t="s">
        <v>124</v>
      </c>
      <c r="C113" s="82">
        <v>265.0</v>
      </c>
      <c r="D113" s="24">
        <f t="shared" si="21"/>
        <v>217.21</v>
      </c>
      <c r="E113" s="24">
        <f t="shared" si="22"/>
        <v>47.79</v>
      </c>
      <c r="F113" s="38" t="str">
        <f t="shared" si="23"/>
        <v>Good</v>
      </c>
      <c r="G113" s="59"/>
      <c r="H113" s="83" t="s">
        <v>124</v>
      </c>
    </row>
    <row r="114" ht="15.75" customHeight="1">
      <c r="A114" s="81">
        <v>599.0</v>
      </c>
      <c r="B114" s="84" t="s">
        <v>125</v>
      </c>
      <c r="C114" s="82">
        <v>215.0</v>
      </c>
      <c r="D114" s="24">
        <f t="shared" si="21"/>
        <v>173.71</v>
      </c>
      <c r="E114" s="24">
        <f t="shared" si="22"/>
        <v>41.29</v>
      </c>
      <c r="F114" s="55" t="str">
        <f t="shared" si="23"/>
        <v>Good</v>
      </c>
      <c r="G114" s="59"/>
      <c r="H114" s="84" t="s">
        <v>125</v>
      </c>
    </row>
    <row r="115" ht="15.75" customHeight="1">
      <c r="A115" s="85">
        <v>33.0</v>
      </c>
      <c r="B115" s="86" t="s">
        <v>126</v>
      </c>
      <c r="C115" s="87">
        <v>15.0</v>
      </c>
      <c r="D115" s="88">
        <f t="shared" si="21"/>
        <v>9.57</v>
      </c>
      <c r="E115" s="88">
        <f t="shared" si="22"/>
        <v>5.43</v>
      </c>
      <c r="F115" s="89" t="str">
        <f t="shared" si="23"/>
        <v>Okay</v>
      </c>
      <c r="G115" s="88"/>
      <c r="H115" s="86" t="s">
        <v>126</v>
      </c>
    </row>
    <row r="116" ht="15.75" customHeight="1">
      <c r="A116" s="85">
        <v>266.0</v>
      </c>
      <c r="B116" s="86" t="s">
        <v>127</v>
      </c>
      <c r="C116" s="87">
        <v>101.0</v>
      </c>
      <c r="D116" s="88">
        <f t="shared" si="21"/>
        <v>77.14</v>
      </c>
      <c r="E116" s="88">
        <f t="shared" si="22"/>
        <v>23.86</v>
      </c>
      <c r="F116" s="89" t="str">
        <f t="shared" si="23"/>
        <v>Good</v>
      </c>
      <c r="G116" s="88"/>
      <c r="H116" s="86" t="s">
        <v>127</v>
      </c>
    </row>
    <row r="117" ht="15.75" customHeight="1">
      <c r="A117" s="85">
        <v>666.0</v>
      </c>
      <c r="B117" s="86" t="s">
        <v>128</v>
      </c>
      <c r="C117" s="87">
        <v>230.0</v>
      </c>
      <c r="D117" s="88">
        <f t="shared" si="21"/>
        <v>193.14</v>
      </c>
      <c r="E117" s="88">
        <f t="shared" si="22"/>
        <v>36.86</v>
      </c>
      <c r="F117" s="89" t="str">
        <f t="shared" si="23"/>
        <v>Good</v>
      </c>
      <c r="G117" s="88"/>
      <c r="H117" s="86" t="s">
        <v>128</v>
      </c>
    </row>
    <row r="118" ht="15.75" customHeight="1">
      <c r="C118" s="78"/>
      <c r="G118" s="51"/>
      <c r="H118" s="21"/>
    </row>
    <row r="119" ht="15.75" customHeight="1">
      <c r="A119" s="68" t="s">
        <v>129</v>
      </c>
      <c r="B119" s="90" t="s">
        <v>130</v>
      </c>
      <c r="C119" s="34"/>
      <c r="D119" s="34"/>
      <c r="E119" s="34"/>
      <c r="F119" s="34"/>
      <c r="G119" s="66"/>
    </row>
    <row r="120" ht="15.75" customHeight="1">
      <c r="A120" s="23">
        <v>3999.0</v>
      </c>
      <c r="B120" s="91" t="s">
        <v>131</v>
      </c>
      <c r="C120" s="82">
        <v>1420.0</v>
      </c>
      <c r="D120" s="24">
        <f t="shared" ref="D120:D129" si="24">(A120/1000)*$I$2</f>
        <v>1159.71</v>
      </c>
      <c r="E120" s="24">
        <f t="shared" ref="E120:E129" si="25">C120-D120</f>
        <v>260.29</v>
      </c>
      <c r="F120" s="55" t="str">
        <f t="shared" ref="F120:F129" si="26">IF(E120&lt;5,"Bad",IF(E120&lt;20,"Okay","Good"))</f>
        <v>Good</v>
      </c>
      <c r="G120" s="66"/>
      <c r="H120" s="91" t="s">
        <v>131</v>
      </c>
      <c r="I120" s="34"/>
      <c r="J120" s="23">
        <v>3199.0</v>
      </c>
      <c r="K120" s="91" t="s">
        <v>132</v>
      </c>
      <c r="L120" s="82">
        <v>1140.0</v>
      </c>
      <c r="M120" s="24">
        <f t="shared" ref="M120:M123" si="27">(J120/1000)*$I$2</f>
        <v>927.71</v>
      </c>
      <c r="N120" s="24">
        <f t="shared" ref="N120:N123" si="28">L120-M120</f>
        <v>212.29</v>
      </c>
      <c r="O120" s="55" t="str">
        <f t="shared" ref="O120:O123" si="29">IF(N120&lt;5,"Bad",IF(N120&lt;20,"Okay","Good"))</f>
        <v>Good</v>
      </c>
    </row>
    <row r="121" ht="15.75" customHeight="1">
      <c r="A121" s="23">
        <v>3199.0</v>
      </c>
      <c r="B121" s="91" t="s">
        <v>133</v>
      </c>
      <c r="C121" s="82">
        <v>1140.0</v>
      </c>
      <c r="D121" s="24">
        <f t="shared" si="24"/>
        <v>927.71</v>
      </c>
      <c r="E121" s="24">
        <f t="shared" si="25"/>
        <v>212.29</v>
      </c>
      <c r="F121" s="55" t="str">
        <f t="shared" si="26"/>
        <v>Good</v>
      </c>
      <c r="G121" s="66"/>
      <c r="H121" s="91" t="s">
        <v>133</v>
      </c>
      <c r="I121" s="24"/>
      <c r="J121" s="23">
        <v>1599.0</v>
      </c>
      <c r="K121" s="91" t="s">
        <v>134</v>
      </c>
      <c r="L121" s="82">
        <v>570.0</v>
      </c>
      <c r="M121" s="24">
        <f t="shared" si="27"/>
        <v>463.71</v>
      </c>
      <c r="N121" s="24">
        <f t="shared" si="28"/>
        <v>106.29</v>
      </c>
      <c r="O121" s="55" t="str">
        <f t="shared" si="29"/>
        <v>Good</v>
      </c>
    </row>
    <row r="122" ht="15.75" customHeight="1">
      <c r="A122" s="23">
        <v>499.0</v>
      </c>
      <c r="B122" s="34" t="s">
        <v>135</v>
      </c>
      <c r="C122" s="82">
        <v>180.0</v>
      </c>
      <c r="D122" s="24">
        <f t="shared" si="24"/>
        <v>144.71</v>
      </c>
      <c r="E122" s="24">
        <f t="shared" si="25"/>
        <v>35.29</v>
      </c>
      <c r="F122" s="38" t="str">
        <f t="shared" si="26"/>
        <v>Good</v>
      </c>
      <c r="G122" s="66"/>
      <c r="H122" s="34" t="s">
        <v>135</v>
      </c>
      <c r="I122" s="24"/>
      <c r="J122" s="23">
        <v>399.0</v>
      </c>
      <c r="K122" s="91" t="s">
        <v>136</v>
      </c>
      <c r="L122" s="82">
        <v>140.0</v>
      </c>
      <c r="M122" s="24">
        <f t="shared" si="27"/>
        <v>115.71</v>
      </c>
      <c r="N122" s="24">
        <f t="shared" si="28"/>
        <v>24.29</v>
      </c>
      <c r="O122" s="55" t="str">
        <f t="shared" si="29"/>
        <v>Good</v>
      </c>
    </row>
    <row r="123" ht="15.75" customHeight="1">
      <c r="A123" s="23">
        <v>399.0</v>
      </c>
      <c r="B123" s="34" t="s">
        <v>137</v>
      </c>
      <c r="C123" s="82">
        <v>140.0</v>
      </c>
      <c r="D123" s="24">
        <f t="shared" si="24"/>
        <v>115.71</v>
      </c>
      <c r="E123" s="24">
        <f t="shared" si="25"/>
        <v>24.29</v>
      </c>
      <c r="F123" s="38" t="str">
        <f t="shared" si="26"/>
        <v>Good</v>
      </c>
      <c r="G123" s="66"/>
      <c r="H123" s="34" t="s">
        <v>137</v>
      </c>
      <c r="I123" s="24"/>
      <c r="J123" s="23">
        <v>3499.0</v>
      </c>
      <c r="K123" s="91" t="s">
        <v>138</v>
      </c>
      <c r="L123" s="82">
        <v>1245.0</v>
      </c>
      <c r="M123" s="24">
        <f t="shared" si="27"/>
        <v>1014.71</v>
      </c>
      <c r="N123" s="24">
        <f t="shared" si="28"/>
        <v>230.29</v>
      </c>
      <c r="O123" s="55" t="str">
        <f t="shared" si="29"/>
        <v>Good</v>
      </c>
    </row>
    <row r="124" ht="15.75" customHeight="1">
      <c r="A124" s="23">
        <v>499.0</v>
      </c>
      <c r="B124" s="34" t="s">
        <v>139</v>
      </c>
      <c r="C124" s="82">
        <v>180.0</v>
      </c>
      <c r="D124" s="24">
        <f t="shared" si="24"/>
        <v>144.71</v>
      </c>
      <c r="E124" s="24">
        <f t="shared" si="25"/>
        <v>35.29</v>
      </c>
      <c r="F124" s="38" t="str">
        <f t="shared" si="26"/>
        <v>Good</v>
      </c>
      <c r="G124" s="66"/>
      <c r="H124" s="34" t="s">
        <v>139</v>
      </c>
      <c r="I124" s="24"/>
      <c r="J124" s="23"/>
      <c r="K124" s="91"/>
      <c r="L124" s="82"/>
      <c r="M124" s="24"/>
      <c r="N124" s="24"/>
      <c r="O124" s="55"/>
    </row>
    <row r="125" ht="15.75" customHeight="1">
      <c r="A125" s="23">
        <v>1199.0</v>
      </c>
      <c r="B125" s="34" t="s">
        <v>140</v>
      </c>
      <c r="C125" s="82">
        <v>430.0</v>
      </c>
      <c r="D125" s="24">
        <f t="shared" si="24"/>
        <v>347.71</v>
      </c>
      <c r="E125" s="24">
        <f t="shared" si="25"/>
        <v>82.29</v>
      </c>
      <c r="F125" s="55" t="str">
        <f t="shared" si="26"/>
        <v>Good</v>
      </c>
      <c r="G125" s="66"/>
      <c r="H125" s="34" t="s">
        <v>140</v>
      </c>
      <c r="I125" s="24"/>
      <c r="J125" s="24"/>
      <c r="K125" s="24"/>
      <c r="L125" s="24"/>
      <c r="M125" s="24"/>
      <c r="N125" s="34"/>
    </row>
    <row r="126" ht="15.75" customHeight="1">
      <c r="A126" s="23">
        <v>499.0</v>
      </c>
      <c r="B126" s="34" t="s">
        <v>141</v>
      </c>
      <c r="C126" s="23">
        <v>180.0</v>
      </c>
      <c r="D126" s="24">
        <f t="shared" si="24"/>
        <v>144.71</v>
      </c>
      <c r="E126" s="24">
        <f t="shared" si="25"/>
        <v>35.29</v>
      </c>
      <c r="F126" s="38" t="str">
        <f t="shared" si="26"/>
        <v>Good</v>
      </c>
      <c r="G126" s="66"/>
      <c r="H126" s="34" t="s">
        <v>141</v>
      </c>
      <c r="I126" s="24"/>
      <c r="J126" s="24"/>
      <c r="K126" s="24"/>
      <c r="L126" s="24"/>
      <c r="M126" s="24"/>
      <c r="N126" s="34"/>
    </row>
    <row r="127" ht="15.75" customHeight="1">
      <c r="A127" s="23">
        <v>199.0</v>
      </c>
      <c r="B127" s="34" t="s">
        <v>142</v>
      </c>
      <c r="C127" s="23">
        <v>75.0</v>
      </c>
      <c r="D127" s="24">
        <f t="shared" si="24"/>
        <v>57.71</v>
      </c>
      <c r="E127" s="24">
        <f t="shared" si="25"/>
        <v>17.29</v>
      </c>
      <c r="F127" s="38" t="str">
        <f t="shared" si="26"/>
        <v>Okay</v>
      </c>
      <c r="G127" s="66"/>
      <c r="H127" s="34" t="s">
        <v>142</v>
      </c>
      <c r="I127" s="24"/>
      <c r="J127" s="24"/>
      <c r="K127" s="24"/>
      <c r="L127" s="24"/>
      <c r="M127" s="24"/>
      <c r="N127" s="34"/>
    </row>
    <row r="128" ht="15.75" customHeight="1">
      <c r="A128" s="23">
        <v>79.0</v>
      </c>
      <c r="B128" s="34" t="s">
        <v>143</v>
      </c>
      <c r="C128" s="23">
        <v>33.0</v>
      </c>
      <c r="D128" s="24">
        <f t="shared" si="24"/>
        <v>22.91</v>
      </c>
      <c r="E128" s="24">
        <f t="shared" si="25"/>
        <v>10.09</v>
      </c>
      <c r="F128" s="38" t="str">
        <f t="shared" si="26"/>
        <v>Okay</v>
      </c>
      <c r="G128" s="66"/>
      <c r="H128" s="34" t="s">
        <v>143</v>
      </c>
      <c r="I128" s="24"/>
      <c r="J128" s="24"/>
      <c r="K128" s="24"/>
      <c r="L128" s="24"/>
      <c r="M128" s="24"/>
      <c r="N128" s="34"/>
    </row>
    <row r="129" ht="15.75" customHeight="1">
      <c r="A129" s="23">
        <v>499.0</v>
      </c>
      <c r="B129" s="91" t="s">
        <v>144</v>
      </c>
      <c r="C129" s="23">
        <v>180.0</v>
      </c>
      <c r="D129" s="24">
        <f t="shared" si="24"/>
        <v>144.71</v>
      </c>
      <c r="E129" s="24">
        <f t="shared" si="25"/>
        <v>35.29</v>
      </c>
      <c r="F129" s="38" t="str">
        <f t="shared" si="26"/>
        <v>Good</v>
      </c>
      <c r="G129" s="66"/>
      <c r="H129" s="34" t="s">
        <v>145</v>
      </c>
      <c r="I129" s="24"/>
      <c r="J129" s="24"/>
      <c r="K129" s="24"/>
      <c r="L129" s="24"/>
      <c r="M129" s="24"/>
      <c r="N129" s="34"/>
    </row>
    <row r="130" ht="15.75" customHeight="1">
      <c r="A130" s="5"/>
      <c r="B130" s="5"/>
      <c r="C130" s="78"/>
      <c r="D130" s="5"/>
      <c r="E130" s="5"/>
      <c r="F130" s="5"/>
      <c r="G130" s="21"/>
      <c r="H130" s="21"/>
      <c r="I130" s="24"/>
      <c r="J130" s="24"/>
      <c r="K130" s="24"/>
      <c r="L130" s="24"/>
      <c r="M130" s="24"/>
      <c r="N130" s="34"/>
    </row>
    <row r="131" ht="15.75" customHeight="1">
      <c r="A131" s="68" t="s">
        <v>146</v>
      </c>
      <c r="B131" s="34"/>
      <c r="C131" s="80"/>
      <c r="D131" s="34"/>
      <c r="E131" s="34"/>
      <c r="F131" s="38"/>
      <c r="G131" s="66"/>
      <c r="H131" s="34"/>
    </row>
    <row r="132" ht="15.75" customHeight="1">
      <c r="A132" s="23">
        <v>399.0</v>
      </c>
      <c r="B132" s="24"/>
      <c r="C132" s="82">
        <v>140.0</v>
      </c>
      <c r="D132" s="24">
        <f t="shared" ref="D132:D146" si="30">(A132/1000)*$I$2</f>
        <v>115.71</v>
      </c>
      <c r="E132" s="24">
        <f t="shared" ref="E132:E146" si="31">C132-D132</f>
        <v>24.29</v>
      </c>
      <c r="F132" s="38" t="str">
        <f t="shared" ref="F132:F146" si="32">IF(E132&lt;5,"Bad",IF(E132&lt;20,"Okay","Good"))</f>
        <v>Good</v>
      </c>
      <c r="G132" s="66"/>
      <c r="H132" s="34" t="s">
        <v>147</v>
      </c>
    </row>
    <row r="133" ht="15.75" customHeight="1">
      <c r="A133" s="24">
        <v>299.0</v>
      </c>
      <c r="B133" s="24"/>
      <c r="C133" s="82">
        <v>105.0</v>
      </c>
      <c r="D133" s="24">
        <f t="shared" si="30"/>
        <v>86.71</v>
      </c>
      <c r="E133" s="24">
        <f t="shared" si="31"/>
        <v>18.29</v>
      </c>
      <c r="F133" s="38" t="str">
        <f t="shared" si="32"/>
        <v>Okay</v>
      </c>
      <c r="G133" s="66"/>
      <c r="H133" s="34" t="s">
        <v>148</v>
      </c>
    </row>
    <row r="134" ht="15.75" customHeight="1">
      <c r="A134" s="23">
        <v>399.0</v>
      </c>
      <c r="B134" s="24"/>
      <c r="C134" s="82">
        <v>140.0</v>
      </c>
      <c r="D134" s="24">
        <f t="shared" si="30"/>
        <v>115.71</v>
      </c>
      <c r="E134" s="24">
        <f t="shared" si="31"/>
        <v>24.29</v>
      </c>
      <c r="F134" s="38" t="str">
        <f t="shared" si="32"/>
        <v>Good</v>
      </c>
      <c r="G134" s="66"/>
      <c r="H134" s="34" t="s">
        <v>149</v>
      </c>
    </row>
    <row r="135" ht="15.75" customHeight="1">
      <c r="A135" s="23">
        <v>199.0</v>
      </c>
      <c r="B135" s="24"/>
      <c r="C135" s="82">
        <v>75.0</v>
      </c>
      <c r="D135" s="24">
        <f t="shared" si="30"/>
        <v>57.71</v>
      </c>
      <c r="E135" s="24">
        <f t="shared" si="31"/>
        <v>17.29</v>
      </c>
      <c r="F135" s="38" t="str">
        <f t="shared" si="32"/>
        <v>Okay</v>
      </c>
      <c r="G135" s="66"/>
      <c r="H135" s="34" t="s">
        <v>150</v>
      </c>
    </row>
    <row r="136" ht="15.75" customHeight="1">
      <c r="A136" s="23">
        <v>249.0</v>
      </c>
      <c r="B136" s="24"/>
      <c r="C136" s="82">
        <v>95.0</v>
      </c>
      <c r="D136" s="60">
        <f t="shared" si="30"/>
        <v>72.21</v>
      </c>
      <c r="E136" s="60">
        <f t="shared" si="31"/>
        <v>22.79</v>
      </c>
      <c r="F136" s="92" t="str">
        <f t="shared" si="32"/>
        <v>Good</v>
      </c>
      <c r="G136" s="93"/>
      <c r="H136" s="34" t="s">
        <v>151</v>
      </c>
    </row>
    <row r="137" ht="15.75" customHeight="1">
      <c r="A137" s="24">
        <v>19.0</v>
      </c>
      <c r="B137" s="24"/>
      <c r="C137" s="94">
        <v>7.0</v>
      </c>
      <c r="D137" s="60">
        <f t="shared" si="30"/>
        <v>5.51</v>
      </c>
      <c r="E137" s="60">
        <f t="shared" si="31"/>
        <v>1.49</v>
      </c>
      <c r="F137" s="95" t="str">
        <f t="shared" si="32"/>
        <v>Bad</v>
      </c>
      <c r="G137" s="93"/>
      <c r="H137" s="34" t="s">
        <v>69</v>
      </c>
    </row>
    <row r="138" ht="15.75" customHeight="1">
      <c r="A138" s="24">
        <v>69.0</v>
      </c>
      <c r="B138" s="24"/>
      <c r="C138" s="94">
        <v>25.0</v>
      </c>
      <c r="D138" s="24">
        <f t="shared" si="30"/>
        <v>20.01</v>
      </c>
      <c r="E138" s="24">
        <f t="shared" si="31"/>
        <v>4.99</v>
      </c>
      <c r="F138" s="38" t="str">
        <f t="shared" si="32"/>
        <v>Bad</v>
      </c>
      <c r="G138" s="66"/>
      <c r="H138" s="34" t="s">
        <v>152</v>
      </c>
    </row>
    <row r="139" ht="15.75" customHeight="1">
      <c r="A139" s="24">
        <v>149.0</v>
      </c>
      <c r="B139" s="24"/>
      <c r="C139" s="82">
        <v>58.0</v>
      </c>
      <c r="D139" s="24">
        <f t="shared" si="30"/>
        <v>43.21</v>
      </c>
      <c r="E139" s="24">
        <f t="shared" si="31"/>
        <v>14.79</v>
      </c>
      <c r="F139" s="38" t="str">
        <f t="shared" si="32"/>
        <v>Okay</v>
      </c>
      <c r="G139" s="66"/>
      <c r="H139" s="34" t="s">
        <v>153</v>
      </c>
    </row>
    <row r="140" ht="15.75" customHeight="1">
      <c r="A140" s="24">
        <v>219.0</v>
      </c>
      <c r="B140" s="24"/>
      <c r="C140" s="94">
        <v>85.0</v>
      </c>
      <c r="D140" s="24">
        <f t="shared" si="30"/>
        <v>63.51</v>
      </c>
      <c r="E140" s="24">
        <f t="shared" si="31"/>
        <v>21.49</v>
      </c>
      <c r="F140" s="55" t="str">
        <f t="shared" si="32"/>
        <v>Good</v>
      </c>
      <c r="G140" s="66"/>
      <c r="H140" s="34" t="s">
        <v>154</v>
      </c>
    </row>
    <row r="141" ht="15.75" customHeight="1">
      <c r="A141" s="24">
        <v>799.0</v>
      </c>
      <c r="B141" s="24"/>
      <c r="C141" s="82">
        <v>285.0</v>
      </c>
      <c r="D141" s="24">
        <f t="shared" si="30"/>
        <v>231.71</v>
      </c>
      <c r="E141" s="24">
        <f t="shared" si="31"/>
        <v>53.29</v>
      </c>
      <c r="F141" s="55" t="str">
        <f t="shared" si="32"/>
        <v>Good</v>
      </c>
      <c r="G141" s="66"/>
      <c r="H141" s="34" t="s">
        <v>155</v>
      </c>
    </row>
    <row r="142" ht="15.75" customHeight="1">
      <c r="A142" s="24">
        <v>49.0</v>
      </c>
      <c r="B142" s="24"/>
      <c r="C142" s="94">
        <v>25.0</v>
      </c>
      <c r="D142" s="24">
        <f t="shared" si="30"/>
        <v>14.21</v>
      </c>
      <c r="E142" s="24">
        <f t="shared" si="31"/>
        <v>10.79</v>
      </c>
      <c r="F142" s="38" t="str">
        <f t="shared" si="32"/>
        <v>Okay</v>
      </c>
      <c r="G142" s="59"/>
      <c r="H142" s="34" t="s">
        <v>156</v>
      </c>
    </row>
    <row r="143" ht="15.75" customHeight="1">
      <c r="A143" s="24">
        <v>100.0</v>
      </c>
      <c r="B143" s="24"/>
      <c r="C143" s="94">
        <v>40.0</v>
      </c>
      <c r="D143" s="24">
        <f t="shared" si="30"/>
        <v>29</v>
      </c>
      <c r="E143" s="24">
        <f t="shared" si="31"/>
        <v>11</v>
      </c>
      <c r="F143" s="38" t="str">
        <f t="shared" si="32"/>
        <v>Okay</v>
      </c>
      <c r="G143" s="59"/>
      <c r="H143" s="34" t="s">
        <v>157</v>
      </c>
    </row>
    <row r="144" ht="15.75" customHeight="1">
      <c r="A144" s="24">
        <v>349.0</v>
      </c>
      <c r="B144" s="23"/>
      <c r="C144" s="82">
        <v>125.0</v>
      </c>
      <c r="D144" s="24">
        <f t="shared" si="30"/>
        <v>101.21</v>
      </c>
      <c r="E144" s="24">
        <f t="shared" si="31"/>
        <v>23.79</v>
      </c>
      <c r="F144" s="55" t="str">
        <f t="shared" si="32"/>
        <v>Good</v>
      </c>
      <c r="G144" s="59"/>
      <c r="H144" s="91" t="s">
        <v>158</v>
      </c>
    </row>
    <row r="145" ht="15.75" customHeight="1">
      <c r="A145" s="24">
        <v>519.0</v>
      </c>
      <c r="B145" s="23"/>
      <c r="C145" s="82">
        <v>187.0</v>
      </c>
      <c r="D145" s="24">
        <f t="shared" si="30"/>
        <v>150.51</v>
      </c>
      <c r="E145" s="24">
        <f t="shared" si="31"/>
        <v>36.49</v>
      </c>
      <c r="F145" s="55" t="str">
        <f t="shared" si="32"/>
        <v>Good</v>
      </c>
      <c r="G145" s="59"/>
      <c r="H145" s="91" t="s">
        <v>159</v>
      </c>
    </row>
    <row r="146" ht="15.75" customHeight="1">
      <c r="A146" s="24">
        <v>899.0</v>
      </c>
      <c r="B146" s="23"/>
      <c r="C146" s="82">
        <v>320.0</v>
      </c>
      <c r="D146" s="24">
        <f t="shared" si="30"/>
        <v>260.71</v>
      </c>
      <c r="E146" s="24">
        <f t="shared" si="31"/>
        <v>59.29</v>
      </c>
      <c r="F146" s="55" t="str">
        <f t="shared" si="32"/>
        <v>Good</v>
      </c>
      <c r="G146" s="59"/>
      <c r="H146" s="91" t="s">
        <v>160</v>
      </c>
    </row>
    <row r="147" ht="15.75" customHeight="1">
      <c r="A147" s="96"/>
      <c r="B147" s="5"/>
      <c r="C147" s="78"/>
      <c r="D147" s="5"/>
      <c r="E147" s="5"/>
      <c r="F147" s="5"/>
      <c r="G147" s="21"/>
      <c r="H147" s="96"/>
    </row>
    <row r="148" ht="15.75" customHeight="1">
      <c r="A148" s="56" t="s">
        <v>161</v>
      </c>
      <c r="B148" s="34"/>
      <c r="C148" s="80"/>
      <c r="D148" s="34"/>
      <c r="E148" s="34"/>
      <c r="F148" s="34"/>
      <c r="G148" s="66"/>
      <c r="H148" s="34"/>
    </row>
    <row r="149" ht="15.75" customHeight="1">
      <c r="A149" s="23">
        <v>139.0</v>
      </c>
      <c r="B149" s="34" t="s">
        <v>162</v>
      </c>
      <c r="C149" s="82">
        <v>55.0</v>
      </c>
      <c r="D149" s="24">
        <f t="shared" ref="D149:D157" si="33">(A149/1000)*$I$2</f>
        <v>40.31</v>
      </c>
      <c r="E149" s="24">
        <f t="shared" ref="E149:E157" si="34">C149-D149</f>
        <v>14.69</v>
      </c>
      <c r="F149" s="55" t="str">
        <f t="shared" ref="F149:F157" si="35">IF(E149&lt;5,"Bad",IF(E149&lt;20,"Okay","Good"))</f>
        <v>Okay</v>
      </c>
      <c r="G149" s="66"/>
    </row>
    <row r="150" ht="15.75" customHeight="1">
      <c r="A150" s="23">
        <v>69.0</v>
      </c>
      <c r="B150" s="34" t="s">
        <v>163</v>
      </c>
      <c r="C150" s="82">
        <v>26.0</v>
      </c>
      <c r="D150" s="24">
        <f t="shared" si="33"/>
        <v>20.01</v>
      </c>
      <c r="E150" s="24">
        <f t="shared" si="34"/>
        <v>5.99</v>
      </c>
      <c r="F150" s="38" t="str">
        <f t="shared" si="35"/>
        <v>Okay</v>
      </c>
      <c r="G150" s="66"/>
    </row>
    <row r="151" ht="15.75" customHeight="1">
      <c r="A151" s="23">
        <v>35.0</v>
      </c>
      <c r="B151" s="34" t="s">
        <v>164</v>
      </c>
      <c r="C151" s="82">
        <v>15.0</v>
      </c>
      <c r="D151" s="24">
        <f t="shared" si="33"/>
        <v>10.15</v>
      </c>
      <c r="E151" s="24">
        <f t="shared" si="34"/>
        <v>4.85</v>
      </c>
      <c r="F151" s="38" t="str">
        <f t="shared" si="35"/>
        <v>Bad</v>
      </c>
      <c r="G151" s="66"/>
    </row>
    <row r="152" ht="15.75" customHeight="1">
      <c r="A152" s="23">
        <v>69.0</v>
      </c>
      <c r="B152" s="34" t="s">
        <v>165</v>
      </c>
      <c r="C152" s="82">
        <v>26.0</v>
      </c>
      <c r="D152" s="24">
        <f t="shared" si="33"/>
        <v>20.01</v>
      </c>
      <c r="E152" s="24">
        <f t="shared" si="34"/>
        <v>5.99</v>
      </c>
      <c r="F152" s="38" t="str">
        <f t="shared" si="35"/>
        <v>Okay</v>
      </c>
      <c r="G152" s="66"/>
    </row>
    <row r="153" ht="15.75" customHeight="1">
      <c r="A153" s="23">
        <v>275.0</v>
      </c>
      <c r="B153" s="34" t="s">
        <v>166</v>
      </c>
      <c r="C153" s="82">
        <v>100.0</v>
      </c>
      <c r="D153" s="24">
        <f t="shared" si="33"/>
        <v>79.75</v>
      </c>
      <c r="E153" s="24">
        <f t="shared" si="34"/>
        <v>20.25</v>
      </c>
      <c r="F153" s="55" t="str">
        <f t="shared" si="35"/>
        <v>Good</v>
      </c>
      <c r="G153" s="66"/>
    </row>
    <row r="154" ht="15.75" customHeight="1">
      <c r="A154" s="23">
        <v>605.0</v>
      </c>
      <c r="B154" s="34" t="s">
        <v>167</v>
      </c>
      <c r="C154" s="82">
        <v>215.0</v>
      </c>
      <c r="D154" s="60">
        <f t="shared" si="33"/>
        <v>175.45</v>
      </c>
      <c r="E154" s="60">
        <f t="shared" si="34"/>
        <v>39.55</v>
      </c>
      <c r="F154" s="92" t="str">
        <f t="shared" si="35"/>
        <v>Good</v>
      </c>
      <c r="G154" s="93"/>
    </row>
    <row r="155" ht="15.75" customHeight="1">
      <c r="A155" s="23">
        <v>2415.0</v>
      </c>
      <c r="B155" s="34" t="s">
        <v>168</v>
      </c>
      <c r="C155" s="82">
        <v>855.0</v>
      </c>
      <c r="D155" s="60">
        <f t="shared" si="33"/>
        <v>700.35</v>
      </c>
      <c r="E155" s="60">
        <f t="shared" si="34"/>
        <v>154.65</v>
      </c>
      <c r="F155" s="92" t="str">
        <f t="shared" si="35"/>
        <v>Good</v>
      </c>
      <c r="G155" s="93"/>
    </row>
    <row r="156" ht="15.75" customHeight="1">
      <c r="A156" s="23">
        <v>309.0</v>
      </c>
      <c r="B156" s="34" t="s">
        <v>169</v>
      </c>
      <c r="C156" s="82">
        <v>110.0</v>
      </c>
      <c r="D156" s="24">
        <f t="shared" si="33"/>
        <v>89.61</v>
      </c>
      <c r="E156" s="24">
        <f t="shared" si="34"/>
        <v>20.39</v>
      </c>
      <c r="F156" s="55" t="str">
        <f t="shared" si="35"/>
        <v>Good</v>
      </c>
      <c r="G156" s="66"/>
    </row>
    <row r="157" ht="15.75" customHeight="1">
      <c r="A157" s="23">
        <v>169.0</v>
      </c>
      <c r="B157" s="34" t="s">
        <v>170</v>
      </c>
      <c r="C157" s="82">
        <v>65.0</v>
      </c>
      <c r="D157" s="24">
        <f t="shared" si="33"/>
        <v>49.01</v>
      </c>
      <c r="E157" s="24">
        <f t="shared" si="34"/>
        <v>15.99</v>
      </c>
      <c r="F157" s="55" t="str">
        <f t="shared" si="35"/>
        <v>Okay</v>
      </c>
      <c r="G157" s="66"/>
    </row>
    <row r="158" ht="15.75" customHeight="1">
      <c r="A158" s="34"/>
      <c r="B158" s="34"/>
      <c r="C158" s="80"/>
      <c r="D158" s="34"/>
      <c r="E158" s="34"/>
      <c r="F158" s="34"/>
      <c r="G158" s="66"/>
      <c r="H158" s="34"/>
    </row>
    <row r="159" ht="15.75" customHeight="1">
      <c r="A159" s="68" t="s">
        <v>171</v>
      </c>
      <c r="B159" s="91"/>
      <c r="C159" s="80"/>
      <c r="D159" s="34"/>
      <c r="E159" s="34"/>
      <c r="F159" s="38"/>
      <c r="G159" s="66"/>
      <c r="H159" s="34"/>
    </row>
    <row r="160" ht="15.75" customHeight="1">
      <c r="A160" s="24">
        <v>249.0</v>
      </c>
      <c r="B160" s="34" t="s">
        <v>172</v>
      </c>
      <c r="C160" s="82">
        <v>95.0</v>
      </c>
      <c r="D160" s="24">
        <f t="shared" ref="D160:D167" si="36">(A160/1000)*$I$2</f>
        <v>72.21</v>
      </c>
      <c r="E160" s="24">
        <f t="shared" ref="E160:E167" si="37">C160-D160</f>
        <v>22.79</v>
      </c>
      <c r="F160" s="38" t="str">
        <f t="shared" ref="F160:F167" si="38">IF(E160&lt;5,"Bad",IF(E160&lt;20,"Okay","Good"))</f>
        <v>Good</v>
      </c>
      <c r="G160" s="59"/>
      <c r="J160" s="23">
        <v>699.0</v>
      </c>
      <c r="K160" s="14" t="s">
        <v>173</v>
      </c>
      <c r="L160" s="82">
        <v>250.0</v>
      </c>
      <c r="M160" s="24">
        <f t="shared" ref="M160:M161" si="39">(J160/1000)*$I$2</f>
        <v>202.71</v>
      </c>
      <c r="N160" s="24">
        <f t="shared" ref="N160:N161" si="40">L160-M160</f>
        <v>47.29</v>
      </c>
      <c r="O160" s="38" t="str">
        <f t="shared" ref="O160:O161" si="41">IF(N160&lt;5,"Bad",IF(N160&lt;20,"Okay","Good"))</f>
        <v>Good</v>
      </c>
      <c r="P160" s="14" t="s">
        <v>173</v>
      </c>
    </row>
    <row r="161" ht="15.75" customHeight="1">
      <c r="A161" s="24">
        <v>379.0</v>
      </c>
      <c r="B161" s="34" t="s">
        <v>174</v>
      </c>
      <c r="C161" s="82">
        <v>136.0</v>
      </c>
      <c r="D161" s="24">
        <f t="shared" si="36"/>
        <v>109.91</v>
      </c>
      <c r="E161" s="24">
        <f t="shared" si="37"/>
        <v>26.09</v>
      </c>
      <c r="F161" s="38" t="str">
        <f t="shared" si="38"/>
        <v>Good</v>
      </c>
      <c r="G161" s="59"/>
      <c r="J161" s="23">
        <v>449.0</v>
      </c>
      <c r="K161" s="14" t="s">
        <v>175</v>
      </c>
      <c r="L161" s="82">
        <v>160.0</v>
      </c>
      <c r="M161" s="24">
        <f t="shared" si="39"/>
        <v>130.21</v>
      </c>
      <c r="N161" s="24">
        <f t="shared" si="40"/>
        <v>29.79</v>
      </c>
      <c r="O161" s="38" t="str">
        <f t="shared" si="41"/>
        <v>Good</v>
      </c>
      <c r="P161" s="14" t="s">
        <v>175</v>
      </c>
    </row>
    <row r="162" ht="15.75" customHeight="1">
      <c r="A162" s="24">
        <v>399.0</v>
      </c>
      <c r="B162" s="91" t="s">
        <v>176</v>
      </c>
      <c r="C162" s="82">
        <v>140.0</v>
      </c>
      <c r="D162" s="24">
        <f t="shared" si="36"/>
        <v>115.71</v>
      </c>
      <c r="E162" s="24">
        <f t="shared" si="37"/>
        <v>24.29</v>
      </c>
      <c r="F162" s="55" t="str">
        <f t="shared" si="38"/>
        <v>Good</v>
      </c>
      <c r="G162" s="59"/>
    </row>
    <row r="163" ht="15.75" customHeight="1">
      <c r="A163" s="24">
        <v>479.0</v>
      </c>
      <c r="B163" s="34" t="s">
        <v>177</v>
      </c>
      <c r="C163" s="82">
        <v>171.0</v>
      </c>
      <c r="D163" s="24">
        <f t="shared" si="36"/>
        <v>138.91</v>
      </c>
      <c r="E163" s="24">
        <f t="shared" si="37"/>
        <v>32.09</v>
      </c>
      <c r="F163" s="55" t="str">
        <f t="shared" si="38"/>
        <v>Good</v>
      </c>
      <c r="G163" s="59"/>
    </row>
    <row r="164" ht="15.75" customHeight="1">
      <c r="A164" s="24">
        <v>449.0</v>
      </c>
      <c r="B164" s="34" t="s">
        <v>178</v>
      </c>
      <c r="C164" s="94">
        <v>170.0</v>
      </c>
      <c r="D164" s="24">
        <f t="shared" si="36"/>
        <v>130.21</v>
      </c>
      <c r="E164" s="24">
        <f t="shared" si="37"/>
        <v>39.79</v>
      </c>
      <c r="F164" s="55" t="str">
        <f t="shared" si="38"/>
        <v>Good</v>
      </c>
      <c r="G164" s="59"/>
    </row>
    <row r="165" ht="15.75" customHeight="1">
      <c r="A165" s="24">
        <v>349.0</v>
      </c>
      <c r="B165" s="34" t="s">
        <v>179</v>
      </c>
      <c r="C165" s="82">
        <v>125.0</v>
      </c>
      <c r="D165" s="24">
        <f t="shared" si="36"/>
        <v>101.21</v>
      </c>
      <c r="E165" s="24">
        <f t="shared" si="37"/>
        <v>23.79</v>
      </c>
      <c r="F165" s="55" t="str">
        <f t="shared" si="38"/>
        <v>Good</v>
      </c>
      <c r="G165" s="59"/>
    </row>
    <row r="166" ht="15.75" customHeight="1">
      <c r="A166" s="24">
        <v>399.0</v>
      </c>
      <c r="B166" s="34" t="s">
        <v>180</v>
      </c>
      <c r="C166" s="82">
        <v>140.0</v>
      </c>
      <c r="D166" s="24">
        <f t="shared" si="36"/>
        <v>115.71</v>
      </c>
      <c r="E166" s="24">
        <f t="shared" si="37"/>
        <v>24.29</v>
      </c>
      <c r="F166" s="55" t="str">
        <f t="shared" si="38"/>
        <v>Good</v>
      </c>
      <c r="G166" s="59"/>
    </row>
    <row r="167" ht="15.75" customHeight="1">
      <c r="A167" s="24">
        <v>149.0</v>
      </c>
      <c r="B167" s="34" t="s">
        <v>181</v>
      </c>
      <c r="C167" s="82">
        <v>58.0</v>
      </c>
      <c r="D167" s="24">
        <f t="shared" si="36"/>
        <v>43.21</v>
      </c>
      <c r="E167" s="24">
        <f t="shared" si="37"/>
        <v>14.79</v>
      </c>
      <c r="F167" s="38" t="str">
        <f t="shared" si="38"/>
        <v>Okay</v>
      </c>
      <c r="G167" s="59"/>
    </row>
    <row r="168" ht="15.75" customHeight="1">
      <c r="A168" s="5"/>
      <c r="B168" s="5"/>
      <c r="C168" s="78"/>
      <c r="D168" s="5"/>
      <c r="E168" s="5"/>
      <c r="F168" s="5"/>
      <c r="G168" s="21"/>
      <c r="H168" s="21"/>
    </row>
    <row r="169" ht="15.75" customHeight="1">
      <c r="A169" s="56" t="s">
        <v>182</v>
      </c>
      <c r="B169" s="97"/>
      <c r="C169" s="80"/>
      <c r="D169" s="34"/>
      <c r="E169" s="34"/>
      <c r="F169" s="34"/>
      <c r="G169" s="66"/>
      <c r="H169" s="66"/>
    </row>
    <row r="170" ht="15.75" customHeight="1">
      <c r="A170" s="69">
        <v>29.0</v>
      </c>
      <c r="B170" s="71" t="s">
        <v>183</v>
      </c>
      <c r="C170" s="82">
        <v>11.0</v>
      </c>
      <c r="D170" s="24">
        <f t="shared" ref="D170:D174" si="42">(A170/1000)*$I$2</f>
        <v>8.41</v>
      </c>
      <c r="E170" s="24">
        <f t="shared" ref="E170:E174" si="43">C170-D170</f>
        <v>2.59</v>
      </c>
      <c r="F170" s="38" t="str">
        <f t="shared" ref="F170:F174" si="44">IF(E170&lt;5,"Bad",IF(E170&lt;20,"Okay","Good"))</f>
        <v>Bad</v>
      </c>
      <c r="G170" s="59"/>
    </row>
    <row r="171" ht="15.75" customHeight="1">
      <c r="A171" s="69">
        <v>119.0</v>
      </c>
      <c r="B171" s="71" t="s">
        <v>184</v>
      </c>
      <c r="C171" s="82">
        <v>50.0</v>
      </c>
      <c r="D171" s="24">
        <f t="shared" si="42"/>
        <v>34.51</v>
      </c>
      <c r="E171" s="24">
        <f t="shared" si="43"/>
        <v>15.49</v>
      </c>
      <c r="F171" s="38" t="str">
        <f t="shared" si="44"/>
        <v>Okay</v>
      </c>
      <c r="G171" s="59"/>
    </row>
    <row r="172" ht="15.75" customHeight="1">
      <c r="A172" s="69">
        <v>299.0</v>
      </c>
      <c r="B172" s="84" t="s">
        <v>185</v>
      </c>
      <c r="C172" s="82">
        <v>105.0</v>
      </c>
      <c r="D172" s="24">
        <f t="shared" si="42"/>
        <v>86.71</v>
      </c>
      <c r="E172" s="24">
        <f t="shared" si="43"/>
        <v>18.29</v>
      </c>
      <c r="F172" s="38" t="str">
        <f t="shared" si="44"/>
        <v>Okay</v>
      </c>
      <c r="G172" s="59"/>
    </row>
    <row r="173" ht="15.75" customHeight="1">
      <c r="A173" s="81">
        <v>639.0</v>
      </c>
      <c r="B173" s="84" t="s">
        <v>186</v>
      </c>
      <c r="C173" s="82">
        <v>229.0</v>
      </c>
      <c r="D173" s="24">
        <f t="shared" si="42"/>
        <v>185.31</v>
      </c>
      <c r="E173" s="24">
        <f t="shared" si="43"/>
        <v>43.69</v>
      </c>
      <c r="F173" s="55" t="str">
        <f t="shared" si="44"/>
        <v>Good</v>
      </c>
      <c r="G173" s="59"/>
    </row>
    <row r="174" ht="15.75" customHeight="1">
      <c r="A174" s="19">
        <v>1199.0</v>
      </c>
      <c r="B174" s="40" t="s">
        <v>187</v>
      </c>
      <c r="C174" s="82">
        <v>430.0</v>
      </c>
      <c r="D174" s="24">
        <f t="shared" si="42"/>
        <v>347.71</v>
      </c>
      <c r="E174" s="24">
        <f t="shared" si="43"/>
        <v>82.29</v>
      </c>
      <c r="F174" s="55" t="str">
        <f t="shared" si="44"/>
        <v>Good</v>
      </c>
      <c r="G174" s="21"/>
    </row>
    <row r="175" ht="15.75" customHeight="1">
      <c r="A175" s="56" t="s">
        <v>188</v>
      </c>
      <c r="B175" s="90" t="s">
        <v>130</v>
      </c>
      <c r="C175" s="80"/>
      <c r="D175" s="61"/>
      <c r="E175" s="61"/>
      <c r="F175" s="61"/>
      <c r="G175" s="93"/>
      <c r="H175" s="66"/>
    </row>
    <row r="176" ht="15.75" customHeight="1">
      <c r="A176" s="69">
        <v>79.0</v>
      </c>
      <c r="B176" s="98" t="s">
        <v>189</v>
      </c>
      <c r="C176" s="82">
        <v>30.0</v>
      </c>
      <c r="D176" s="60">
        <f t="shared" ref="D176:D188" si="45">(A176/1000)*$I$2</f>
        <v>22.91</v>
      </c>
      <c r="E176" s="60">
        <f t="shared" ref="E176:E188" si="46">C176-D176</f>
        <v>7.09</v>
      </c>
      <c r="F176" s="99" t="str">
        <f t="shared" ref="F176:F188" si="47">IF(E176&lt;5,"Bad",IF(E176&lt;20,"Okay","Good"))</f>
        <v>Okay</v>
      </c>
      <c r="G176" s="100"/>
      <c r="H176" s="71" t="s">
        <v>190</v>
      </c>
    </row>
    <row r="177" ht="15.75" customHeight="1">
      <c r="A177" s="69">
        <v>199.0</v>
      </c>
      <c r="B177" s="98" t="s">
        <v>191</v>
      </c>
      <c r="C177" s="82">
        <v>75.0</v>
      </c>
      <c r="D177" s="24">
        <f t="shared" si="45"/>
        <v>57.71</v>
      </c>
      <c r="E177" s="24">
        <f t="shared" si="46"/>
        <v>17.29</v>
      </c>
      <c r="F177" s="55" t="str">
        <f t="shared" si="47"/>
        <v>Okay</v>
      </c>
      <c r="G177" s="59"/>
      <c r="H177" s="71" t="s">
        <v>192</v>
      </c>
    </row>
    <row r="178" ht="15.75" customHeight="1">
      <c r="A178" s="69">
        <v>599.0</v>
      </c>
      <c r="B178" s="83" t="s">
        <v>193</v>
      </c>
      <c r="C178" s="82">
        <v>215.0</v>
      </c>
      <c r="D178" s="24">
        <f t="shared" si="45"/>
        <v>173.71</v>
      </c>
      <c r="E178" s="24">
        <f t="shared" si="46"/>
        <v>41.29</v>
      </c>
      <c r="F178" s="55" t="str">
        <f t="shared" si="47"/>
        <v>Good</v>
      </c>
      <c r="G178" s="59"/>
      <c r="H178" s="84" t="s">
        <v>194</v>
      </c>
    </row>
    <row r="179" ht="15.75" customHeight="1">
      <c r="A179" s="69">
        <v>179.0</v>
      </c>
      <c r="B179" s="84" t="s">
        <v>195</v>
      </c>
      <c r="C179" s="82">
        <v>69.0</v>
      </c>
      <c r="D179" s="24">
        <f t="shared" si="45"/>
        <v>51.91</v>
      </c>
      <c r="E179" s="24">
        <f t="shared" si="46"/>
        <v>17.09</v>
      </c>
      <c r="F179" s="55" t="str">
        <f t="shared" si="47"/>
        <v>Okay</v>
      </c>
      <c r="G179" s="59"/>
      <c r="H179" s="84" t="s">
        <v>195</v>
      </c>
    </row>
    <row r="180" ht="15.75" customHeight="1">
      <c r="A180" s="69">
        <v>75.0</v>
      </c>
      <c r="B180" s="84" t="s">
        <v>196</v>
      </c>
      <c r="C180" s="82">
        <v>28.0</v>
      </c>
      <c r="D180" s="24">
        <f t="shared" si="45"/>
        <v>21.75</v>
      </c>
      <c r="E180" s="24">
        <f t="shared" si="46"/>
        <v>6.25</v>
      </c>
      <c r="F180" s="38" t="str">
        <f t="shared" si="47"/>
        <v>Okay</v>
      </c>
      <c r="G180" s="59"/>
      <c r="H180" s="84" t="s">
        <v>196</v>
      </c>
    </row>
    <row r="181" ht="15.75" customHeight="1">
      <c r="A181" s="69">
        <v>399.0</v>
      </c>
      <c r="B181" s="84" t="s">
        <v>197</v>
      </c>
      <c r="C181" s="82">
        <v>140.0</v>
      </c>
      <c r="D181" s="24">
        <f t="shared" si="45"/>
        <v>115.71</v>
      </c>
      <c r="E181" s="24">
        <f t="shared" si="46"/>
        <v>24.29</v>
      </c>
      <c r="F181" s="55" t="str">
        <f t="shared" si="47"/>
        <v>Good</v>
      </c>
      <c r="G181" s="59"/>
      <c r="H181" s="84" t="s">
        <v>197</v>
      </c>
    </row>
    <row r="182" ht="15.75" customHeight="1">
      <c r="A182" s="69">
        <v>39.0</v>
      </c>
      <c r="B182" s="84" t="s">
        <v>198</v>
      </c>
      <c r="C182" s="82">
        <v>15.0</v>
      </c>
      <c r="D182" s="24">
        <f t="shared" si="45"/>
        <v>11.31</v>
      </c>
      <c r="E182" s="24">
        <f t="shared" si="46"/>
        <v>3.69</v>
      </c>
      <c r="F182" s="38" t="str">
        <f t="shared" si="47"/>
        <v>Bad</v>
      </c>
      <c r="G182" s="59"/>
      <c r="H182" s="84" t="s">
        <v>198</v>
      </c>
    </row>
    <row r="183" ht="15.75" customHeight="1">
      <c r="A183" s="69">
        <v>99.0</v>
      </c>
      <c r="B183" s="84" t="s">
        <v>199</v>
      </c>
      <c r="C183" s="82">
        <v>38.0</v>
      </c>
      <c r="D183" s="24">
        <f t="shared" si="45"/>
        <v>28.71</v>
      </c>
      <c r="E183" s="24">
        <f t="shared" si="46"/>
        <v>9.29</v>
      </c>
      <c r="F183" s="38" t="str">
        <f t="shared" si="47"/>
        <v>Okay</v>
      </c>
      <c r="G183" s="59"/>
      <c r="H183" s="84" t="s">
        <v>199</v>
      </c>
    </row>
    <row r="184" ht="15.75" customHeight="1">
      <c r="A184" s="69">
        <v>319.0</v>
      </c>
      <c r="B184" s="84" t="s">
        <v>200</v>
      </c>
      <c r="C184" s="82">
        <v>112.0</v>
      </c>
      <c r="D184" s="24">
        <f t="shared" si="45"/>
        <v>92.51</v>
      </c>
      <c r="E184" s="24">
        <f t="shared" si="46"/>
        <v>19.49</v>
      </c>
      <c r="F184" s="38" t="str">
        <f t="shared" si="47"/>
        <v>Okay</v>
      </c>
      <c r="G184" s="59"/>
      <c r="H184" s="84" t="s">
        <v>200</v>
      </c>
    </row>
    <row r="185" ht="15.75" customHeight="1">
      <c r="A185" s="69">
        <v>399.0</v>
      </c>
      <c r="B185" s="71" t="s">
        <v>201</v>
      </c>
      <c r="C185" s="82">
        <v>140.0</v>
      </c>
      <c r="D185" s="24">
        <f t="shared" si="45"/>
        <v>115.71</v>
      </c>
      <c r="E185" s="24">
        <f t="shared" si="46"/>
        <v>24.29</v>
      </c>
      <c r="F185" s="55" t="str">
        <f t="shared" si="47"/>
        <v>Good</v>
      </c>
      <c r="G185" s="59"/>
      <c r="H185" s="71" t="s">
        <v>201</v>
      </c>
    </row>
    <row r="186" ht="15.75" customHeight="1">
      <c r="A186" s="69">
        <v>719.0</v>
      </c>
      <c r="B186" s="98" t="s">
        <v>202</v>
      </c>
      <c r="C186" s="82">
        <v>257.0</v>
      </c>
      <c r="D186" s="24">
        <f t="shared" si="45"/>
        <v>208.51</v>
      </c>
      <c r="E186" s="24">
        <f t="shared" si="46"/>
        <v>48.49</v>
      </c>
      <c r="F186" s="55" t="str">
        <f t="shared" si="47"/>
        <v>Good</v>
      </c>
      <c r="G186" s="59"/>
      <c r="H186" s="98" t="s">
        <v>203</v>
      </c>
    </row>
    <row r="187" ht="15.75" customHeight="1">
      <c r="A187" s="69">
        <v>439.0</v>
      </c>
      <c r="B187" s="98" t="s">
        <v>204</v>
      </c>
      <c r="C187" s="82">
        <v>155.0</v>
      </c>
      <c r="D187" s="24">
        <f t="shared" si="45"/>
        <v>127.31</v>
      </c>
      <c r="E187" s="24">
        <f t="shared" si="46"/>
        <v>27.69</v>
      </c>
      <c r="F187" s="55" t="str">
        <f t="shared" si="47"/>
        <v>Good</v>
      </c>
      <c r="G187" s="59"/>
      <c r="H187" s="98" t="s">
        <v>205</v>
      </c>
    </row>
    <row r="188" ht="15.75" customHeight="1">
      <c r="A188" s="69">
        <v>199.0</v>
      </c>
      <c r="B188" s="98" t="s">
        <v>206</v>
      </c>
      <c r="C188" s="82">
        <v>75.0</v>
      </c>
      <c r="D188" s="24">
        <f t="shared" si="45"/>
        <v>57.71</v>
      </c>
      <c r="E188" s="24">
        <f t="shared" si="46"/>
        <v>17.29</v>
      </c>
      <c r="F188" s="55" t="str">
        <f t="shared" si="47"/>
        <v>Okay</v>
      </c>
      <c r="G188" s="59"/>
      <c r="H188" s="98" t="s">
        <v>206</v>
      </c>
    </row>
    <row r="189" ht="15.75" customHeight="1">
      <c r="A189" s="81"/>
      <c r="B189" s="24"/>
      <c r="C189" s="82"/>
      <c r="D189" s="24"/>
      <c r="E189" s="24"/>
      <c r="F189" s="38"/>
      <c r="G189" s="59"/>
      <c r="H189" s="71"/>
    </row>
    <row r="190" ht="15.75" customHeight="1">
      <c r="A190" s="81"/>
      <c r="B190" s="24"/>
      <c r="C190" s="94"/>
      <c r="D190" s="24"/>
      <c r="E190" s="24"/>
      <c r="F190" s="55"/>
      <c r="G190" s="59"/>
      <c r="H190" s="71"/>
    </row>
    <row r="191" ht="15.75" customHeight="1">
      <c r="A191" s="96"/>
      <c r="B191" s="5"/>
      <c r="C191" s="78"/>
      <c r="D191" s="5"/>
      <c r="E191" s="5"/>
      <c r="F191" s="5"/>
      <c r="G191" s="21"/>
      <c r="H191" s="96"/>
    </row>
    <row r="192" ht="15.75" customHeight="1">
      <c r="A192" s="101" t="s">
        <v>207</v>
      </c>
      <c r="B192" s="34"/>
      <c r="C192" s="80"/>
      <c r="D192" s="34"/>
      <c r="E192" s="34"/>
      <c r="F192" s="38"/>
      <c r="G192" s="66"/>
      <c r="H192" s="102"/>
    </row>
    <row r="193" ht="15.75" customHeight="1">
      <c r="A193" s="24">
        <v>300.0</v>
      </c>
      <c r="B193" s="103" t="s">
        <v>208</v>
      </c>
      <c r="C193" s="82">
        <v>105.0</v>
      </c>
      <c r="D193" s="104">
        <f t="shared" ref="D193:D212" si="48">(A193/1000)*$I$2</f>
        <v>87</v>
      </c>
      <c r="E193" s="24">
        <f t="shared" ref="E193:E212" si="49">C193-D193</f>
        <v>18</v>
      </c>
      <c r="F193" s="38" t="str">
        <f t="shared" ref="F193:F212" si="50">IF(E193&lt;5,"Bad",IF(E193&lt;20,"Okay","Good"))</f>
        <v>Okay</v>
      </c>
      <c r="G193" s="59"/>
    </row>
    <row r="194" ht="15.75" customHeight="1">
      <c r="A194" s="24">
        <v>200.0</v>
      </c>
      <c r="B194" s="103" t="s">
        <v>209</v>
      </c>
      <c r="C194" s="82">
        <v>75.0</v>
      </c>
      <c r="D194" s="104">
        <f t="shared" si="48"/>
        <v>58</v>
      </c>
      <c r="E194" s="24">
        <f t="shared" si="49"/>
        <v>17</v>
      </c>
      <c r="F194" s="38" t="str">
        <f t="shared" si="50"/>
        <v>Okay</v>
      </c>
      <c r="G194" s="59"/>
    </row>
    <row r="195" ht="15.75" customHeight="1">
      <c r="A195" s="24">
        <v>600.0</v>
      </c>
      <c r="B195" s="103" t="s">
        <v>210</v>
      </c>
      <c r="C195" s="82">
        <v>215.0</v>
      </c>
      <c r="D195" s="105">
        <f t="shared" si="48"/>
        <v>174</v>
      </c>
      <c r="E195" s="60">
        <f t="shared" si="49"/>
        <v>41</v>
      </c>
      <c r="F195" s="92" t="str">
        <f t="shared" si="50"/>
        <v>Good</v>
      </c>
      <c r="G195" s="100"/>
    </row>
    <row r="196" ht="15.75" customHeight="1">
      <c r="A196" s="24">
        <v>100.0</v>
      </c>
      <c r="B196" s="106" t="s">
        <v>211</v>
      </c>
      <c r="C196" s="82">
        <v>38.0</v>
      </c>
      <c r="D196" s="105">
        <f t="shared" si="48"/>
        <v>29</v>
      </c>
      <c r="E196" s="60">
        <f t="shared" si="49"/>
        <v>9</v>
      </c>
      <c r="F196" s="99" t="str">
        <f t="shared" si="50"/>
        <v>Okay</v>
      </c>
      <c r="G196" s="100"/>
    </row>
    <row r="197" ht="15.75" customHeight="1">
      <c r="A197" s="24">
        <v>400.0</v>
      </c>
      <c r="B197" s="106" t="s">
        <v>212</v>
      </c>
      <c r="C197" s="82">
        <v>140.0</v>
      </c>
      <c r="D197" s="104">
        <f t="shared" si="48"/>
        <v>116</v>
      </c>
      <c r="E197" s="24">
        <f t="shared" si="49"/>
        <v>24</v>
      </c>
      <c r="F197" s="38" t="str">
        <f t="shared" si="50"/>
        <v>Good</v>
      </c>
      <c r="G197" s="100"/>
    </row>
    <row r="198" ht="15.75" customHeight="1">
      <c r="A198" s="24">
        <v>250.0</v>
      </c>
      <c r="B198" s="106" t="s">
        <v>213</v>
      </c>
      <c r="C198" s="82">
        <v>95.0</v>
      </c>
      <c r="D198" s="104">
        <f t="shared" si="48"/>
        <v>72.5</v>
      </c>
      <c r="E198" s="24">
        <f t="shared" si="49"/>
        <v>22.5</v>
      </c>
      <c r="F198" s="38" t="str">
        <f t="shared" si="50"/>
        <v>Good</v>
      </c>
      <c r="G198" s="100"/>
    </row>
    <row r="199" ht="15.75" customHeight="1">
      <c r="A199" s="23">
        <v>300.0</v>
      </c>
      <c r="B199" s="106" t="s">
        <v>214</v>
      </c>
      <c r="C199" s="82">
        <v>105.0</v>
      </c>
      <c r="D199" s="104">
        <f t="shared" si="48"/>
        <v>87</v>
      </c>
      <c r="E199" s="24">
        <f t="shared" si="49"/>
        <v>18</v>
      </c>
      <c r="F199" s="38" t="str">
        <f t="shared" si="50"/>
        <v>Okay</v>
      </c>
      <c r="G199" s="100"/>
    </row>
    <row r="200" ht="15.75" customHeight="1">
      <c r="A200" s="24">
        <v>180.0</v>
      </c>
      <c r="B200" s="107" t="s">
        <v>215</v>
      </c>
      <c r="C200" s="82">
        <v>70.0</v>
      </c>
      <c r="D200" s="104">
        <f t="shared" si="48"/>
        <v>52.2</v>
      </c>
      <c r="E200" s="24">
        <f t="shared" si="49"/>
        <v>17.8</v>
      </c>
      <c r="F200" s="38" t="str">
        <f t="shared" si="50"/>
        <v>Okay</v>
      </c>
      <c r="G200" s="100"/>
    </row>
    <row r="201" ht="15.75" customHeight="1">
      <c r="A201" s="24">
        <v>15.0</v>
      </c>
      <c r="B201" s="106">
        <v>1000.0</v>
      </c>
      <c r="C201" s="82">
        <v>7.0</v>
      </c>
      <c r="D201" s="104">
        <f t="shared" si="48"/>
        <v>4.35</v>
      </c>
      <c r="E201" s="24">
        <f t="shared" si="49"/>
        <v>2.65</v>
      </c>
      <c r="F201" s="55" t="str">
        <f t="shared" si="50"/>
        <v>Bad</v>
      </c>
      <c r="G201" s="100"/>
    </row>
    <row r="202" ht="15.75" customHeight="1">
      <c r="A202" s="24">
        <v>70.0</v>
      </c>
      <c r="B202" s="106">
        <v>5000.0</v>
      </c>
      <c r="C202" s="82">
        <v>28.0</v>
      </c>
      <c r="D202" s="104">
        <f t="shared" si="48"/>
        <v>20.3</v>
      </c>
      <c r="E202" s="24">
        <f t="shared" si="49"/>
        <v>7.7</v>
      </c>
      <c r="F202" s="55" t="str">
        <f t="shared" si="50"/>
        <v>Okay</v>
      </c>
      <c r="G202" s="100"/>
    </row>
    <row r="203" ht="15.75" customHeight="1">
      <c r="A203" s="24">
        <v>120.0</v>
      </c>
      <c r="B203" s="106">
        <v>10000.0</v>
      </c>
      <c r="C203" s="82">
        <v>45.0</v>
      </c>
      <c r="D203" s="104">
        <f t="shared" si="48"/>
        <v>34.8</v>
      </c>
      <c r="E203" s="24">
        <f t="shared" si="49"/>
        <v>10.2</v>
      </c>
      <c r="F203" s="55" t="str">
        <f t="shared" si="50"/>
        <v>Okay</v>
      </c>
      <c r="G203" s="100"/>
    </row>
    <row r="204" ht="15.75" customHeight="1">
      <c r="A204" s="24">
        <v>525.0</v>
      </c>
      <c r="B204" s="106">
        <v>50000.0</v>
      </c>
      <c r="C204" s="82">
        <v>192.0</v>
      </c>
      <c r="D204" s="104">
        <f t="shared" si="48"/>
        <v>152.25</v>
      </c>
      <c r="E204" s="24">
        <f t="shared" si="49"/>
        <v>39.75</v>
      </c>
      <c r="F204" s="55" t="str">
        <f t="shared" si="50"/>
        <v>Good</v>
      </c>
      <c r="G204" s="100"/>
    </row>
    <row r="205" ht="15.75" customHeight="1">
      <c r="A205" s="24">
        <v>975.0</v>
      </c>
      <c r="B205" s="106">
        <v>100000.0</v>
      </c>
      <c r="C205" s="82">
        <v>345.0</v>
      </c>
      <c r="D205" s="105">
        <f t="shared" si="48"/>
        <v>282.75</v>
      </c>
      <c r="E205" s="60">
        <f t="shared" si="49"/>
        <v>62.25</v>
      </c>
      <c r="F205" s="55" t="str">
        <f t="shared" si="50"/>
        <v>Good</v>
      </c>
      <c r="G205" s="100"/>
    </row>
    <row r="206" ht="15.75" customHeight="1">
      <c r="A206" s="24">
        <v>4500.0</v>
      </c>
      <c r="B206" s="106">
        <v>500000.0</v>
      </c>
      <c r="C206" s="82">
        <v>1600.0</v>
      </c>
      <c r="D206" s="104">
        <f t="shared" si="48"/>
        <v>1305</v>
      </c>
      <c r="E206" s="24">
        <f t="shared" si="49"/>
        <v>295</v>
      </c>
      <c r="F206" s="55" t="str">
        <f t="shared" si="50"/>
        <v>Good</v>
      </c>
      <c r="G206" s="100"/>
    </row>
    <row r="207" ht="15.75" customHeight="1">
      <c r="A207" s="24">
        <v>15.0</v>
      </c>
      <c r="B207" s="106">
        <v>50.0</v>
      </c>
      <c r="C207" s="82">
        <v>7.0</v>
      </c>
      <c r="D207" s="104">
        <f t="shared" si="48"/>
        <v>4.35</v>
      </c>
      <c r="E207" s="24">
        <f t="shared" si="49"/>
        <v>2.65</v>
      </c>
      <c r="F207" s="55" t="str">
        <f t="shared" si="50"/>
        <v>Bad</v>
      </c>
      <c r="G207" s="100"/>
    </row>
    <row r="208" ht="15.75" customHeight="1">
      <c r="A208" s="24">
        <v>70.0</v>
      </c>
      <c r="B208" s="106">
        <v>250.0</v>
      </c>
      <c r="C208" s="82">
        <v>28.0</v>
      </c>
      <c r="D208" s="104">
        <f t="shared" si="48"/>
        <v>20.3</v>
      </c>
      <c r="E208" s="24">
        <f t="shared" si="49"/>
        <v>7.7</v>
      </c>
      <c r="F208" s="55" t="str">
        <f t="shared" si="50"/>
        <v>Okay</v>
      </c>
      <c r="G208" s="100"/>
    </row>
    <row r="209" ht="15.75" customHeight="1">
      <c r="A209" s="24">
        <v>120.0</v>
      </c>
      <c r="B209" s="106">
        <v>500.0</v>
      </c>
      <c r="C209" s="82">
        <v>45.0</v>
      </c>
      <c r="D209" s="104">
        <f t="shared" si="48"/>
        <v>34.8</v>
      </c>
      <c r="E209" s="24">
        <f t="shared" si="49"/>
        <v>10.2</v>
      </c>
      <c r="F209" s="55" t="str">
        <f t="shared" si="50"/>
        <v>Okay</v>
      </c>
      <c r="G209" s="100"/>
    </row>
    <row r="210" ht="15.75" customHeight="1">
      <c r="A210" s="24">
        <v>525.0</v>
      </c>
      <c r="B210" s="106">
        <v>2500.0</v>
      </c>
      <c r="C210" s="82">
        <v>192.0</v>
      </c>
      <c r="D210" s="104">
        <f t="shared" si="48"/>
        <v>152.25</v>
      </c>
      <c r="E210" s="24">
        <f t="shared" si="49"/>
        <v>39.75</v>
      </c>
      <c r="F210" s="55" t="str">
        <f t="shared" si="50"/>
        <v>Good</v>
      </c>
      <c r="G210" s="100"/>
    </row>
    <row r="211" ht="15.75" customHeight="1">
      <c r="A211" s="24">
        <v>975.0</v>
      </c>
      <c r="B211" s="106">
        <v>5000.0</v>
      </c>
      <c r="C211" s="82">
        <v>345.0</v>
      </c>
      <c r="D211" s="104">
        <f t="shared" si="48"/>
        <v>282.75</v>
      </c>
      <c r="E211" s="24">
        <f t="shared" si="49"/>
        <v>62.25</v>
      </c>
      <c r="F211" s="55" t="str">
        <f t="shared" si="50"/>
        <v>Good</v>
      </c>
      <c r="G211" s="100"/>
    </row>
    <row r="212" ht="15.75" customHeight="1">
      <c r="A212" s="24">
        <v>4500.0</v>
      </c>
      <c r="B212" s="106">
        <v>25000.0</v>
      </c>
      <c r="C212" s="82">
        <v>1600.0</v>
      </c>
      <c r="D212" s="104">
        <f t="shared" si="48"/>
        <v>1305</v>
      </c>
      <c r="E212" s="24">
        <f t="shared" si="49"/>
        <v>295</v>
      </c>
      <c r="F212" s="55" t="str">
        <f t="shared" si="50"/>
        <v>Good</v>
      </c>
      <c r="G212" s="100"/>
    </row>
    <row r="213" ht="15.75" customHeight="1">
      <c r="A213" s="5"/>
      <c r="B213" s="5"/>
      <c r="C213" s="5"/>
      <c r="D213" s="5"/>
      <c r="E213" s="5"/>
      <c r="F213" s="5"/>
      <c r="G213" s="51"/>
    </row>
    <row r="214" ht="15.75" customHeight="1">
      <c r="A214" s="68" t="s">
        <v>216</v>
      </c>
      <c r="B214" s="34"/>
      <c r="C214" s="80"/>
      <c r="D214" s="34"/>
      <c r="E214" s="34"/>
      <c r="F214" s="38"/>
      <c r="G214" s="66"/>
      <c r="H214" s="34"/>
      <c r="I214" s="21"/>
    </row>
    <row r="215" ht="15.75" customHeight="1">
      <c r="A215" s="24">
        <v>275.0</v>
      </c>
      <c r="B215" s="34" t="s">
        <v>212</v>
      </c>
      <c r="C215" s="82">
        <v>100.0</v>
      </c>
      <c r="D215" s="34">
        <f t="shared" ref="D215:D230" si="51">(A215/1000)*$I$2</f>
        <v>79.75</v>
      </c>
      <c r="E215" s="24">
        <f t="shared" ref="E215:E230" si="52">C215-D215</f>
        <v>20.25</v>
      </c>
      <c r="F215" s="55" t="str">
        <f t="shared" ref="F215:F230" si="53">IF(E215&lt;5,"Bad",IF(E215&lt;20,"Okay","Good"))</f>
        <v>Good</v>
      </c>
      <c r="G215" s="66"/>
      <c r="I215" s="21"/>
    </row>
    <row r="216" ht="15.75" customHeight="1">
      <c r="A216" s="24">
        <v>199.0</v>
      </c>
      <c r="B216" s="34" t="s">
        <v>217</v>
      </c>
      <c r="C216" s="82">
        <v>75.0</v>
      </c>
      <c r="D216" s="34">
        <f t="shared" si="51"/>
        <v>57.71</v>
      </c>
      <c r="E216" s="24">
        <f t="shared" si="52"/>
        <v>17.29</v>
      </c>
      <c r="F216" s="38" t="str">
        <f t="shared" si="53"/>
        <v>Okay</v>
      </c>
      <c r="G216" s="66"/>
      <c r="I216" s="21"/>
    </row>
    <row r="217" ht="15.75" customHeight="1">
      <c r="A217" s="24">
        <v>30.0</v>
      </c>
      <c r="B217" s="34" t="s">
        <v>218</v>
      </c>
      <c r="C217" s="82">
        <v>11.0</v>
      </c>
      <c r="D217" s="34">
        <f t="shared" si="51"/>
        <v>8.7</v>
      </c>
      <c r="E217" s="24">
        <f t="shared" si="52"/>
        <v>2.3</v>
      </c>
      <c r="F217" s="32" t="str">
        <f t="shared" si="53"/>
        <v>Bad</v>
      </c>
      <c r="G217" s="66"/>
      <c r="I217" s="21"/>
    </row>
    <row r="218" ht="15.75" customHeight="1">
      <c r="A218" s="24">
        <v>199.0</v>
      </c>
      <c r="B218" s="34" t="s">
        <v>219</v>
      </c>
      <c r="C218" s="82">
        <v>75.0</v>
      </c>
      <c r="D218" s="34">
        <f t="shared" si="51"/>
        <v>57.71</v>
      </c>
      <c r="E218" s="24">
        <f t="shared" si="52"/>
        <v>17.29</v>
      </c>
      <c r="F218" s="38" t="str">
        <f t="shared" si="53"/>
        <v>Okay</v>
      </c>
      <c r="G218" s="66"/>
      <c r="I218" s="21"/>
    </row>
    <row r="219" ht="15.75" customHeight="1">
      <c r="A219" s="24">
        <v>199.0</v>
      </c>
      <c r="B219" s="34" t="s">
        <v>220</v>
      </c>
      <c r="C219" s="82">
        <v>75.0</v>
      </c>
      <c r="D219" s="34">
        <f t="shared" si="51"/>
        <v>57.71</v>
      </c>
      <c r="E219" s="24">
        <f t="shared" si="52"/>
        <v>17.29</v>
      </c>
      <c r="F219" s="38" t="str">
        <f t="shared" si="53"/>
        <v>Okay</v>
      </c>
      <c r="G219" s="66"/>
      <c r="I219" s="21"/>
    </row>
    <row r="220" ht="15.75" customHeight="1">
      <c r="A220" s="24">
        <v>799.0</v>
      </c>
      <c r="B220" s="34" t="s">
        <v>221</v>
      </c>
      <c r="C220" s="82">
        <v>285.0</v>
      </c>
      <c r="D220" s="34">
        <f t="shared" si="51"/>
        <v>231.71</v>
      </c>
      <c r="E220" s="24">
        <f t="shared" si="52"/>
        <v>53.29</v>
      </c>
      <c r="F220" s="55" t="str">
        <f t="shared" si="53"/>
        <v>Good</v>
      </c>
      <c r="G220" s="66"/>
      <c r="I220" s="21"/>
    </row>
    <row r="221" ht="15.75" customHeight="1">
      <c r="A221" s="24">
        <v>999.0</v>
      </c>
      <c r="B221" s="34" t="s">
        <v>162</v>
      </c>
      <c r="C221" s="82">
        <v>355.0</v>
      </c>
      <c r="D221" s="34">
        <f t="shared" si="51"/>
        <v>289.71</v>
      </c>
      <c r="E221" s="24">
        <f t="shared" si="52"/>
        <v>65.29</v>
      </c>
      <c r="F221" s="55" t="str">
        <f t="shared" si="53"/>
        <v>Good</v>
      </c>
      <c r="G221" s="66"/>
      <c r="I221" s="21"/>
    </row>
    <row r="222" ht="15.75" customHeight="1">
      <c r="A222" s="24">
        <v>499.0</v>
      </c>
      <c r="B222" s="34" t="s">
        <v>222</v>
      </c>
      <c r="C222" s="82">
        <v>180.0</v>
      </c>
      <c r="D222" s="34">
        <f t="shared" si="51"/>
        <v>144.71</v>
      </c>
      <c r="E222" s="24">
        <f t="shared" si="52"/>
        <v>35.29</v>
      </c>
      <c r="F222" s="55" t="str">
        <f t="shared" si="53"/>
        <v>Good</v>
      </c>
      <c r="G222" s="66"/>
      <c r="I222" s="21"/>
    </row>
    <row r="223" ht="15.75" customHeight="1">
      <c r="A223" s="24">
        <v>150.0</v>
      </c>
      <c r="B223" s="34" t="s">
        <v>223</v>
      </c>
      <c r="C223" s="82">
        <v>58.0</v>
      </c>
      <c r="D223" s="34">
        <f t="shared" si="51"/>
        <v>43.5</v>
      </c>
      <c r="E223" s="24">
        <f t="shared" si="52"/>
        <v>14.5</v>
      </c>
      <c r="F223" s="38" t="str">
        <f t="shared" si="53"/>
        <v>Okay</v>
      </c>
      <c r="G223" s="66"/>
      <c r="I223" s="21"/>
    </row>
    <row r="224" ht="15.75" customHeight="1">
      <c r="A224" s="24">
        <v>399.0</v>
      </c>
      <c r="B224" s="34" t="s">
        <v>224</v>
      </c>
      <c r="C224" s="82">
        <v>140.0</v>
      </c>
      <c r="D224" s="34">
        <f t="shared" si="51"/>
        <v>115.71</v>
      </c>
      <c r="E224" s="24">
        <f t="shared" si="52"/>
        <v>24.29</v>
      </c>
      <c r="F224" s="55" t="str">
        <f t="shared" si="53"/>
        <v>Good</v>
      </c>
      <c r="G224" s="66"/>
      <c r="I224" s="21"/>
    </row>
    <row r="225" ht="15.75" customHeight="1">
      <c r="A225" s="24">
        <v>99.0</v>
      </c>
      <c r="B225" s="34" t="s">
        <v>225</v>
      </c>
      <c r="C225" s="82">
        <v>38.0</v>
      </c>
      <c r="D225" s="34">
        <f t="shared" si="51"/>
        <v>28.71</v>
      </c>
      <c r="E225" s="24">
        <f t="shared" si="52"/>
        <v>9.29</v>
      </c>
      <c r="F225" s="38" t="str">
        <f t="shared" si="53"/>
        <v>Okay</v>
      </c>
      <c r="G225" s="66"/>
      <c r="I225" s="21"/>
    </row>
    <row r="226" ht="15.75" customHeight="1">
      <c r="A226" s="24">
        <v>50.0</v>
      </c>
      <c r="B226" s="34" t="s">
        <v>226</v>
      </c>
      <c r="C226" s="82">
        <v>21.0</v>
      </c>
      <c r="D226" s="34">
        <f t="shared" si="51"/>
        <v>14.5</v>
      </c>
      <c r="E226" s="60">
        <f t="shared" si="52"/>
        <v>6.5</v>
      </c>
      <c r="F226" s="99" t="str">
        <f t="shared" si="53"/>
        <v>Okay</v>
      </c>
      <c r="G226" s="93"/>
      <c r="I226" s="21"/>
    </row>
    <row r="227" ht="15.75" customHeight="1">
      <c r="A227" s="24">
        <v>799.0</v>
      </c>
      <c r="B227" s="34" t="s">
        <v>227</v>
      </c>
      <c r="C227" s="82">
        <v>285.0</v>
      </c>
      <c r="D227" s="34">
        <f t="shared" si="51"/>
        <v>231.71</v>
      </c>
      <c r="E227" s="24">
        <f t="shared" si="52"/>
        <v>53.29</v>
      </c>
      <c r="F227" s="38" t="str">
        <f t="shared" si="53"/>
        <v>Good</v>
      </c>
      <c r="G227" s="66"/>
      <c r="I227" s="21"/>
    </row>
    <row r="228" ht="15.75" customHeight="1">
      <c r="A228" s="24">
        <v>299.0</v>
      </c>
      <c r="B228" s="34" t="s">
        <v>228</v>
      </c>
      <c r="C228" s="82">
        <v>105.0</v>
      </c>
      <c r="D228" s="34">
        <f t="shared" si="51"/>
        <v>86.71</v>
      </c>
      <c r="E228" s="24">
        <f t="shared" si="52"/>
        <v>18.29</v>
      </c>
      <c r="F228" s="38" t="str">
        <f t="shared" si="53"/>
        <v>Okay</v>
      </c>
      <c r="G228" s="66"/>
      <c r="I228" s="21"/>
    </row>
    <row r="229" ht="15.75" customHeight="1">
      <c r="A229" s="24">
        <v>499.0</v>
      </c>
      <c r="B229" s="34" t="s">
        <v>229</v>
      </c>
      <c r="C229" s="82">
        <v>180.0</v>
      </c>
      <c r="D229" s="34">
        <f t="shared" si="51"/>
        <v>144.71</v>
      </c>
      <c r="E229" s="24">
        <f t="shared" si="52"/>
        <v>35.29</v>
      </c>
      <c r="F229" s="55" t="str">
        <f t="shared" si="53"/>
        <v>Good</v>
      </c>
      <c r="G229" s="66"/>
      <c r="I229" s="21"/>
    </row>
    <row r="230" ht="15.75" customHeight="1">
      <c r="A230" s="24">
        <v>299.0</v>
      </c>
      <c r="B230" s="34" t="s">
        <v>230</v>
      </c>
      <c r="C230" s="82">
        <v>105.0</v>
      </c>
      <c r="D230" s="34">
        <f t="shared" si="51"/>
        <v>86.71</v>
      </c>
      <c r="E230" s="24">
        <f t="shared" si="52"/>
        <v>18.29</v>
      </c>
      <c r="F230" s="32" t="str">
        <f t="shared" si="53"/>
        <v>Okay</v>
      </c>
      <c r="G230" s="66"/>
      <c r="I230" s="21"/>
    </row>
    <row r="231" ht="15.75" customHeight="1">
      <c r="A231" s="34" t="s">
        <v>231</v>
      </c>
      <c r="B231" s="34"/>
      <c r="C231" s="34"/>
      <c r="D231" s="34"/>
      <c r="E231" s="34"/>
      <c r="F231" s="34"/>
      <c r="G231" s="66"/>
      <c r="H231" s="34"/>
      <c r="I231" s="21"/>
    </row>
    <row r="232" ht="15.75" customHeight="1">
      <c r="A232" s="14">
        <v>249.0</v>
      </c>
      <c r="B232" s="14" t="s">
        <v>232</v>
      </c>
      <c r="C232" s="108">
        <v>95.0</v>
      </c>
      <c r="D232" s="24">
        <f t="shared" ref="D232:D253" si="54">(A232/1000)*$I$2</f>
        <v>72.21</v>
      </c>
      <c r="E232" s="24">
        <f t="shared" ref="E232:E253" si="55">C232-D232</f>
        <v>22.79</v>
      </c>
      <c r="F232" s="55" t="str">
        <f t="shared" ref="F232:F253" si="56">IF(E232&lt;5,"Bad",IF(E232&lt;20,"Okay","Good"))</f>
        <v>Good</v>
      </c>
      <c r="G232" s="59"/>
      <c r="I232" s="21"/>
    </row>
    <row r="233" ht="15.75" customHeight="1">
      <c r="A233" s="24">
        <v>399.0</v>
      </c>
      <c r="B233" s="34" t="s">
        <v>162</v>
      </c>
      <c r="C233" s="108">
        <v>140.0</v>
      </c>
      <c r="D233" s="24">
        <f t="shared" si="54"/>
        <v>115.71</v>
      </c>
      <c r="E233" s="24">
        <f t="shared" si="55"/>
        <v>24.29</v>
      </c>
      <c r="F233" s="55" t="str">
        <f t="shared" si="56"/>
        <v>Good</v>
      </c>
      <c r="G233" s="59"/>
      <c r="I233" s="21"/>
    </row>
    <row r="234" ht="15.75" customHeight="1">
      <c r="A234" s="24">
        <v>399.0</v>
      </c>
      <c r="B234" s="34" t="s">
        <v>233</v>
      </c>
      <c r="C234" s="108">
        <v>140.0</v>
      </c>
      <c r="D234" s="24">
        <f t="shared" si="54"/>
        <v>115.71</v>
      </c>
      <c r="E234" s="24">
        <f t="shared" si="55"/>
        <v>24.29</v>
      </c>
      <c r="F234" s="55" t="str">
        <f t="shared" si="56"/>
        <v>Good</v>
      </c>
      <c r="G234" s="59"/>
      <c r="I234" s="21"/>
    </row>
    <row r="235" ht="15.75" customHeight="1">
      <c r="A235" s="24">
        <v>999.0</v>
      </c>
      <c r="B235" s="34" t="s">
        <v>234</v>
      </c>
      <c r="C235" s="108">
        <v>355.0</v>
      </c>
      <c r="D235" s="24">
        <f t="shared" si="54"/>
        <v>289.71</v>
      </c>
      <c r="E235" s="24">
        <f t="shared" si="55"/>
        <v>65.29</v>
      </c>
      <c r="F235" s="55" t="str">
        <f t="shared" si="56"/>
        <v>Good</v>
      </c>
      <c r="G235" s="59"/>
      <c r="I235" s="21"/>
    </row>
    <row r="236" ht="15.75" customHeight="1">
      <c r="A236" s="24">
        <v>999.0</v>
      </c>
      <c r="B236" s="34" t="s">
        <v>235</v>
      </c>
      <c r="C236" s="108">
        <v>355.0</v>
      </c>
      <c r="D236" s="24">
        <f t="shared" si="54"/>
        <v>289.71</v>
      </c>
      <c r="E236" s="24">
        <f t="shared" si="55"/>
        <v>65.29</v>
      </c>
      <c r="F236" s="55" t="str">
        <f t="shared" si="56"/>
        <v>Good</v>
      </c>
      <c r="G236" s="59"/>
      <c r="I236" s="21"/>
    </row>
    <row r="237" ht="15.75" customHeight="1">
      <c r="A237" s="24">
        <v>999.0</v>
      </c>
      <c r="B237" s="34" t="s">
        <v>236</v>
      </c>
      <c r="C237" s="108">
        <v>355.0</v>
      </c>
      <c r="D237" s="24">
        <f t="shared" si="54"/>
        <v>289.71</v>
      </c>
      <c r="E237" s="24">
        <f t="shared" si="55"/>
        <v>65.29</v>
      </c>
      <c r="F237" s="55" t="str">
        <f t="shared" si="56"/>
        <v>Good</v>
      </c>
      <c r="G237" s="59"/>
      <c r="I237" s="21"/>
    </row>
    <row r="238" ht="15.75" customHeight="1">
      <c r="A238" s="24">
        <v>3999.0</v>
      </c>
      <c r="B238" s="34" t="s">
        <v>237</v>
      </c>
      <c r="C238" s="108">
        <v>1420.0</v>
      </c>
      <c r="D238" s="24">
        <f t="shared" si="54"/>
        <v>1159.71</v>
      </c>
      <c r="E238" s="24">
        <f t="shared" si="55"/>
        <v>260.29</v>
      </c>
      <c r="F238" s="55" t="str">
        <f t="shared" si="56"/>
        <v>Good</v>
      </c>
      <c r="G238" s="59"/>
      <c r="I238" s="21"/>
    </row>
    <row r="239" ht="15.75" customHeight="1">
      <c r="A239" s="24">
        <v>7999.0</v>
      </c>
      <c r="B239" s="34" t="s">
        <v>238</v>
      </c>
      <c r="C239" s="108">
        <v>2840.0</v>
      </c>
      <c r="D239" s="24">
        <f t="shared" si="54"/>
        <v>2319.71</v>
      </c>
      <c r="E239" s="24">
        <f t="shared" si="55"/>
        <v>520.29</v>
      </c>
      <c r="F239" s="55" t="str">
        <f t="shared" si="56"/>
        <v>Good</v>
      </c>
      <c r="G239" s="59"/>
      <c r="I239" s="21"/>
    </row>
    <row r="240" ht="15.75" customHeight="1">
      <c r="A240" s="24">
        <v>9999.0</v>
      </c>
      <c r="B240" s="34" t="s">
        <v>239</v>
      </c>
      <c r="C240" s="108">
        <v>3550.0</v>
      </c>
      <c r="D240" s="24">
        <f t="shared" si="54"/>
        <v>2899.71</v>
      </c>
      <c r="E240" s="24">
        <f t="shared" si="55"/>
        <v>650.29</v>
      </c>
      <c r="F240" s="32" t="str">
        <f t="shared" si="56"/>
        <v>Good</v>
      </c>
      <c r="G240" s="59"/>
      <c r="H240" s="34"/>
      <c r="I240" s="21"/>
    </row>
    <row r="241" ht="15.75" customHeight="1">
      <c r="A241" s="14">
        <v>999.0</v>
      </c>
      <c r="B241" s="14" t="s">
        <v>240</v>
      </c>
      <c r="C241" s="108">
        <v>355.0</v>
      </c>
      <c r="D241" s="24">
        <f t="shared" si="54"/>
        <v>289.71</v>
      </c>
      <c r="E241" s="24">
        <f t="shared" si="55"/>
        <v>65.29</v>
      </c>
      <c r="F241" s="32" t="str">
        <f t="shared" si="56"/>
        <v>Good</v>
      </c>
      <c r="G241" s="59"/>
      <c r="H241" s="84"/>
    </row>
    <row r="242" ht="15.75" customHeight="1">
      <c r="A242" s="109">
        <v>3999.0</v>
      </c>
      <c r="B242" s="14" t="s">
        <v>241</v>
      </c>
      <c r="C242" s="108">
        <v>1420.0</v>
      </c>
      <c r="D242" s="24">
        <f t="shared" si="54"/>
        <v>1159.71</v>
      </c>
      <c r="E242" s="24">
        <f t="shared" si="55"/>
        <v>260.29</v>
      </c>
      <c r="F242" s="32" t="str">
        <f t="shared" si="56"/>
        <v>Good</v>
      </c>
      <c r="G242" s="66"/>
      <c r="H242" s="66"/>
    </row>
    <row r="243" ht="15.75" customHeight="1">
      <c r="A243" s="109">
        <v>7999.0</v>
      </c>
      <c r="B243" s="14" t="s">
        <v>242</v>
      </c>
      <c r="C243" s="108">
        <v>2840.0</v>
      </c>
      <c r="D243" s="24">
        <f t="shared" si="54"/>
        <v>2319.71</v>
      </c>
      <c r="E243" s="24">
        <f t="shared" si="55"/>
        <v>520.29</v>
      </c>
      <c r="F243" s="32" t="str">
        <f t="shared" si="56"/>
        <v>Good</v>
      </c>
      <c r="G243" s="59"/>
      <c r="H243" s="71"/>
    </row>
    <row r="244" ht="15.75" customHeight="1">
      <c r="A244" s="110">
        <v>114.0</v>
      </c>
      <c r="B244" s="14" t="s">
        <v>243</v>
      </c>
      <c r="C244" s="108">
        <v>44.0</v>
      </c>
      <c r="D244" s="24">
        <f t="shared" si="54"/>
        <v>33.06</v>
      </c>
      <c r="E244" s="24">
        <f t="shared" si="55"/>
        <v>10.94</v>
      </c>
      <c r="F244" s="32" t="str">
        <f t="shared" si="56"/>
        <v>Okay</v>
      </c>
      <c r="G244" s="59"/>
      <c r="H244" s="71"/>
    </row>
    <row r="245" ht="15.75" customHeight="1">
      <c r="A245" s="110">
        <v>999.0</v>
      </c>
      <c r="B245" s="14" t="s">
        <v>244</v>
      </c>
      <c r="C245" s="108">
        <v>355.0</v>
      </c>
      <c r="D245" s="24">
        <f t="shared" si="54"/>
        <v>289.71</v>
      </c>
      <c r="E245" s="24">
        <f t="shared" si="55"/>
        <v>65.29</v>
      </c>
      <c r="F245" s="32" t="str">
        <f t="shared" si="56"/>
        <v>Good</v>
      </c>
      <c r="G245" s="59"/>
      <c r="H245" s="84"/>
    </row>
    <row r="246" ht="15.75" customHeight="1">
      <c r="A246" s="110">
        <v>2399.0</v>
      </c>
      <c r="B246" s="14" t="s">
        <v>245</v>
      </c>
      <c r="C246" s="108">
        <v>850.0</v>
      </c>
      <c r="D246" s="24">
        <f t="shared" si="54"/>
        <v>695.71</v>
      </c>
      <c r="E246" s="24">
        <f t="shared" si="55"/>
        <v>154.29</v>
      </c>
      <c r="F246" s="32" t="str">
        <f t="shared" si="56"/>
        <v>Good</v>
      </c>
      <c r="G246" s="59"/>
      <c r="H246" s="84"/>
    </row>
    <row r="247" ht="15.75" customHeight="1">
      <c r="A247" s="110">
        <v>4299.0</v>
      </c>
      <c r="B247" s="14" t="s">
        <v>246</v>
      </c>
      <c r="C247" s="108">
        <v>1525.0</v>
      </c>
      <c r="D247" s="24">
        <f t="shared" si="54"/>
        <v>1246.71</v>
      </c>
      <c r="E247" s="24">
        <f t="shared" si="55"/>
        <v>278.29</v>
      </c>
      <c r="F247" s="32" t="str">
        <f t="shared" si="56"/>
        <v>Good</v>
      </c>
      <c r="G247" s="59"/>
      <c r="H247" s="84"/>
    </row>
    <row r="248" ht="15.75" customHeight="1">
      <c r="A248" s="110">
        <v>199.0</v>
      </c>
      <c r="B248" s="110" t="s">
        <v>247</v>
      </c>
      <c r="C248" s="108">
        <v>75.0</v>
      </c>
      <c r="D248" s="24">
        <f t="shared" si="54"/>
        <v>57.71</v>
      </c>
      <c r="E248" s="24">
        <f t="shared" si="55"/>
        <v>17.29</v>
      </c>
      <c r="F248" s="32" t="str">
        <f t="shared" si="56"/>
        <v>Okay</v>
      </c>
      <c r="G248" s="59"/>
      <c r="H248" s="84"/>
    </row>
    <row r="249" ht="15.75" customHeight="1">
      <c r="A249" s="110">
        <v>4999.0</v>
      </c>
      <c r="B249" s="110" t="s">
        <v>248</v>
      </c>
      <c r="C249" s="108">
        <v>1775.0</v>
      </c>
      <c r="D249" s="24">
        <f t="shared" si="54"/>
        <v>1449.71</v>
      </c>
      <c r="E249" s="24">
        <f t="shared" si="55"/>
        <v>325.29</v>
      </c>
      <c r="F249" s="32" t="str">
        <f t="shared" si="56"/>
        <v>Good</v>
      </c>
      <c r="G249" s="59"/>
      <c r="H249" s="84"/>
    </row>
    <row r="250" ht="15.75" customHeight="1">
      <c r="A250" s="109">
        <v>1499.0</v>
      </c>
      <c r="B250" s="110" t="s">
        <v>249</v>
      </c>
      <c r="C250" s="108">
        <v>535.0</v>
      </c>
      <c r="D250" s="24">
        <f t="shared" si="54"/>
        <v>434.71</v>
      </c>
      <c r="E250" s="24">
        <f t="shared" si="55"/>
        <v>100.29</v>
      </c>
      <c r="F250" s="32" t="str">
        <f t="shared" si="56"/>
        <v>Good</v>
      </c>
      <c r="G250" s="66"/>
      <c r="H250" s="111"/>
    </row>
    <row r="251" ht="15.75" customHeight="1">
      <c r="A251" s="109">
        <v>3999.0</v>
      </c>
      <c r="B251" s="110" t="s">
        <v>250</v>
      </c>
      <c r="C251" s="108">
        <v>1420.0</v>
      </c>
      <c r="D251" s="24">
        <f t="shared" si="54"/>
        <v>1159.71</v>
      </c>
      <c r="E251" s="24">
        <f t="shared" si="55"/>
        <v>260.29</v>
      </c>
      <c r="F251" s="32" t="str">
        <f t="shared" si="56"/>
        <v>Good</v>
      </c>
      <c r="G251" s="66"/>
      <c r="H251" s="66"/>
    </row>
    <row r="252" ht="15.75" customHeight="1">
      <c r="A252" s="110">
        <v>149.0</v>
      </c>
      <c r="B252" s="110" t="s">
        <v>251</v>
      </c>
      <c r="C252" s="108">
        <v>58.0</v>
      </c>
      <c r="D252" s="24">
        <f t="shared" si="54"/>
        <v>43.21</v>
      </c>
      <c r="E252" s="24">
        <f t="shared" si="55"/>
        <v>14.79</v>
      </c>
      <c r="F252" s="32" t="str">
        <f t="shared" si="56"/>
        <v>Okay</v>
      </c>
      <c r="G252" s="59"/>
      <c r="H252" s="71"/>
    </row>
    <row r="253" ht="15.75" customHeight="1">
      <c r="A253" s="19">
        <v>249.0</v>
      </c>
      <c r="B253" s="110" t="s">
        <v>252</v>
      </c>
      <c r="C253" s="108">
        <v>95.0</v>
      </c>
      <c r="D253" s="24">
        <f t="shared" si="54"/>
        <v>72.21</v>
      </c>
      <c r="E253" s="24">
        <f t="shared" si="55"/>
        <v>22.79</v>
      </c>
      <c r="F253" s="32" t="str">
        <f t="shared" si="56"/>
        <v>Good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>
      <c r="A261" s="34"/>
      <c r="B261" s="34"/>
      <c r="C261" s="112"/>
      <c r="D261" s="34"/>
      <c r="E261" s="67"/>
      <c r="F261" s="38"/>
      <c r="G261" s="66"/>
      <c r="H261" s="113"/>
    </row>
    <row r="262" ht="15.75" customHeight="1">
      <c r="A262" s="68" t="s">
        <v>253</v>
      </c>
      <c r="B262" s="34"/>
      <c r="C262" s="80"/>
      <c r="D262" s="34"/>
      <c r="E262" s="34"/>
      <c r="F262" s="34"/>
      <c r="G262" s="66"/>
      <c r="H262" s="66"/>
    </row>
    <row r="263" ht="15.75" customHeight="1">
      <c r="A263" s="81">
        <v>200.0</v>
      </c>
      <c r="B263" s="71" t="s">
        <v>148</v>
      </c>
      <c r="C263" s="82">
        <v>75.0</v>
      </c>
      <c r="D263" s="24">
        <f t="shared" ref="D263:D272" si="57">(A263/1000)*$I$2</f>
        <v>58</v>
      </c>
      <c r="E263" s="24">
        <f t="shared" ref="E263:E272" si="58">C263-D263</f>
        <v>17</v>
      </c>
      <c r="F263" s="114" t="str">
        <f t="shared" ref="F263:F272" si="59">IF(E263&lt;5,"Bad",IF(E263&lt;20,"Okay","Good"))</f>
        <v>Okay</v>
      </c>
      <c r="G263" s="59"/>
    </row>
    <row r="264" ht="15.75" customHeight="1">
      <c r="A264" s="81">
        <v>175.0</v>
      </c>
      <c r="B264" s="71" t="s">
        <v>254</v>
      </c>
      <c r="C264" s="94">
        <v>65.0</v>
      </c>
      <c r="D264" s="24">
        <f t="shared" si="57"/>
        <v>50.75</v>
      </c>
      <c r="E264" s="24">
        <f t="shared" si="58"/>
        <v>14.25</v>
      </c>
      <c r="F264" s="114" t="str">
        <f t="shared" si="59"/>
        <v>Okay</v>
      </c>
      <c r="G264" s="59"/>
    </row>
    <row r="265" ht="15.75" customHeight="1">
      <c r="A265" s="115">
        <v>75.0</v>
      </c>
      <c r="B265" s="84" t="s">
        <v>255</v>
      </c>
      <c r="C265" s="94">
        <v>35.0</v>
      </c>
      <c r="D265" s="24">
        <f t="shared" si="57"/>
        <v>21.75</v>
      </c>
      <c r="E265" s="24">
        <f t="shared" si="58"/>
        <v>13.25</v>
      </c>
      <c r="F265" s="114" t="str">
        <f t="shared" si="59"/>
        <v>Okay</v>
      </c>
      <c r="G265" s="59"/>
    </row>
    <row r="266" ht="15.75" customHeight="1">
      <c r="A266" s="81">
        <v>125.0</v>
      </c>
      <c r="B266" s="84" t="s">
        <v>256</v>
      </c>
      <c r="C266" s="82">
        <v>49.0</v>
      </c>
      <c r="D266" s="24">
        <f t="shared" si="57"/>
        <v>36.25</v>
      </c>
      <c r="E266" s="24">
        <f t="shared" si="58"/>
        <v>12.75</v>
      </c>
      <c r="F266" s="114" t="str">
        <f t="shared" si="59"/>
        <v>Okay</v>
      </c>
      <c r="G266" s="59"/>
    </row>
    <row r="267" ht="15.75" customHeight="1">
      <c r="A267" s="81">
        <v>50.0</v>
      </c>
      <c r="B267" s="116">
        <v>30000.0</v>
      </c>
      <c r="C267" s="82">
        <v>21.0</v>
      </c>
      <c r="D267" s="24">
        <f t="shared" si="57"/>
        <v>14.5</v>
      </c>
      <c r="E267" s="117">
        <f t="shared" si="58"/>
        <v>6.5</v>
      </c>
      <c r="F267" s="38" t="str">
        <f t="shared" si="59"/>
        <v>Okay</v>
      </c>
      <c r="G267" s="59"/>
    </row>
    <row r="268" ht="15.75" customHeight="1">
      <c r="A268" s="81">
        <v>200.0</v>
      </c>
      <c r="B268" s="116">
        <v>130000.0</v>
      </c>
      <c r="C268" s="82">
        <v>75.0</v>
      </c>
      <c r="D268" s="24">
        <f t="shared" si="57"/>
        <v>58</v>
      </c>
      <c r="E268" s="117">
        <f t="shared" si="58"/>
        <v>17</v>
      </c>
      <c r="F268" s="38" t="str">
        <f t="shared" si="59"/>
        <v>Okay</v>
      </c>
      <c r="G268" s="59"/>
    </row>
    <row r="269" ht="15.75" customHeight="1">
      <c r="A269" s="81">
        <v>400.0</v>
      </c>
      <c r="B269" s="116">
        <v>280000.0</v>
      </c>
      <c r="C269" s="82">
        <v>140.0</v>
      </c>
      <c r="D269" s="24">
        <f t="shared" si="57"/>
        <v>116</v>
      </c>
      <c r="E269" s="117">
        <f t="shared" si="58"/>
        <v>24</v>
      </c>
      <c r="F269" s="55" t="str">
        <f t="shared" si="59"/>
        <v>Good</v>
      </c>
      <c r="G269" s="59"/>
    </row>
    <row r="270" ht="15.75" customHeight="1">
      <c r="A270" s="81">
        <v>800.0</v>
      </c>
      <c r="B270" s="116">
        <v>580000.0</v>
      </c>
      <c r="C270" s="82">
        <v>285.0</v>
      </c>
      <c r="D270" s="24">
        <f t="shared" si="57"/>
        <v>232</v>
      </c>
      <c r="E270" s="117">
        <f t="shared" si="58"/>
        <v>53</v>
      </c>
      <c r="F270" s="55" t="str">
        <f t="shared" si="59"/>
        <v>Good</v>
      </c>
      <c r="G270" s="59"/>
    </row>
    <row r="271" ht="15.75" customHeight="1">
      <c r="A271" s="81">
        <v>1700.0</v>
      </c>
      <c r="B271" s="116">
        <v>1200000.0</v>
      </c>
      <c r="C271" s="82">
        <v>605.0</v>
      </c>
      <c r="D271" s="24">
        <f t="shared" si="57"/>
        <v>493</v>
      </c>
      <c r="E271" s="117">
        <f t="shared" si="58"/>
        <v>112</v>
      </c>
      <c r="F271" s="55" t="str">
        <f t="shared" si="59"/>
        <v>Good</v>
      </c>
      <c r="G271" s="59"/>
    </row>
    <row r="272" ht="15.75" customHeight="1">
      <c r="A272" s="81">
        <v>4500.0</v>
      </c>
      <c r="B272" s="116">
        <v>3500000.0</v>
      </c>
      <c r="C272" s="82">
        <v>1600.0</v>
      </c>
      <c r="D272" s="24">
        <f t="shared" si="57"/>
        <v>1305</v>
      </c>
      <c r="E272" s="117">
        <f t="shared" si="58"/>
        <v>295</v>
      </c>
      <c r="F272" s="55" t="str">
        <f t="shared" si="59"/>
        <v>Good</v>
      </c>
      <c r="G272" s="59"/>
    </row>
    <row r="273" ht="15.75" customHeight="1">
      <c r="A273" s="118" t="s">
        <v>257</v>
      </c>
      <c r="B273" s="97"/>
      <c r="C273" s="80"/>
      <c r="D273" s="34"/>
      <c r="E273" s="34"/>
      <c r="F273" s="34"/>
      <c r="G273" s="66"/>
      <c r="H273" s="66"/>
    </row>
    <row r="274" ht="15.75" customHeight="1">
      <c r="A274" s="81">
        <v>850.0</v>
      </c>
      <c r="B274" s="24">
        <v>0.0</v>
      </c>
      <c r="C274" s="82">
        <v>300.0</v>
      </c>
      <c r="D274" s="24">
        <f t="shared" ref="D274:D283" si="60">(A274/1000)*$I$2</f>
        <v>246.5</v>
      </c>
      <c r="E274" s="24">
        <f t="shared" ref="E274:E283" si="61">C274-D274</f>
        <v>53.5</v>
      </c>
      <c r="F274" s="38" t="str">
        <f t="shared" ref="F274:F283" si="62">IF(E274&lt;5,"Bad",IF(E274&lt;20,"Okay","Good"))</f>
        <v>Good</v>
      </c>
      <c r="G274" s="59"/>
      <c r="H274" s="71" t="s">
        <v>258</v>
      </c>
    </row>
    <row r="275" ht="15.75" customHeight="1">
      <c r="A275" s="81">
        <v>850.0</v>
      </c>
      <c r="B275" s="24">
        <v>0.0</v>
      </c>
      <c r="C275" s="82">
        <v>300.0</v>
      </c>
      <c r="D275" s="24">
        <f t="shared" si="60"/>
        <v>246.5</v>
      </c>
      <c r="E275" s="24">
        <f t="shared" si="61"/>
        <v>53.5</v>
      </c>
      <c r="F275" s="38" t="str">
        <f t="shared" si="62"/>
        <v>Good</v>
      </c>
      <c r="G275" s="59"/>
      <c r="H275" s="84" t="s">
        <v>259</v>
      </c>
    </row>
    <row r="276" ht="15.75" customHeight="1">
      <c r="A276" s="81">
        <v>399.0</v>
      </c>
      <c r="B276" s="24">
        <v>0.0</v>
      </c>
      <c r="C276" s="82">
        <v>140.0</v>
      </c>
      <c r="D276" s="24">
        <f t="shared" si="60"/>
        <v>115.71</v>
      </c>
      <c r="E276" s="24">
        <f t="shared" si="61"/>
        <v>24.29</v>
      </c>
      <c r="F276" s="38" t="str">
        <f t="shared" si="62"/>
        <v>Good</v>
      </c>
      <c r="G276" s="59"/>
      <c r="H276" s="84" t="s">
        <v>162</v>
      </c>
    </row>
    <row r="277" ht="15.75" customHeight="1">
      <c r="A277" s="81">
        <v>199.0</v>
      </c>
      <c r="B277" s="24">
        <v>0.0</v>
      </c>
      <c r="C277" s="82">
        <v>75.0</v>
      </c>
      <c r="D277" s="24">
        <f t="shared" si="60"/>
        <v>57.71</v>
      </c>
      <c r="E277" s="24">
        <f t="shared" si="61"/>
        <v>17.29</v>
      </c>
      <c r="F277" s="38" t="str">
        <f t="shared" si="62"/>
        <v>Okay</v>
      </c>
      <c r="G277" s="59"/>
      <c r="H277" s="84" t="s">
        <v>260</v>
      </c>
    </row>
    <row r="278" ht="15.75" customHeight="1">
      <c r="A278" s="81">
        <v>67.0</v>
      </c>
      <c r="B278" s="24">
        <v>0.0</v>
      </c>
      <c r="C278" s="82">
        <v>28.0</v>
      </c>
      <c r="D278" s="24">
        <f t="shared" si="60"/>
        <v>19.43</v>
      </c>
      <c r="E278" s="24">
        <f t="shared" si="61"/>
        <v>8.57</v>
      </c>
      <c r="F278" s="38" t="str">
        <f t="shared" si="62"/>
        <v>Okay</v>
      </c>
      <c r="G278" s="59"/>
      <c r="H278" s="84" t="s">
        <v>261</v>
      </c>
    </row>
    <row r="279" ht="15.75" customHeight="1">
      <c r="A279" s="81">
        <v>1299.0</v>
      </c>
      <c r="B279" s="24">
        <v>0.0</v>
      </c>
      <c r="C279" s="82">
        <v>460.0</v>
      </c>
      <c r="D279" s="24">
        <f t="shared" si="60"/>
        <v>376.71</v>
      </c>
      <c r="E279" s="24">
        <f t="shared" si="61"/>
        <v>83.29</v>
      </c>
      <c r="F279" s="38" t="str">
        <f t="shared" si="62"/>
        <v>Good</v>
      </c>
      <c r="G279" s="59"/>
      <c r="H279" s="84" t="s">
        <v>262</v>
      </c>
    </row>
    <row r="280" ht="15.75" customHeight="1">
      <c r="A280" s="81">
        <v>399.0</v>
      </c>
      <c r="B280" s="24">
        <v>0.0</v>
      </c>
      <c r="C280" s="82">
        <v>140.0</v>
      </c>
      <c r="D280" s="117">
        <f t="shared" si="60"/>
        <v>115.71</v>
      </c>
      <c r="E280" s="117">
        <f t="shared" si="61"/>
        <v>24.29</v>
      </c>
      <c r="F280" s="38" t="str">
        <f t="shared" si="62"/>
        <v>Good</v>
      </c>
      <c r="G280" s="59"/>
      <c r="H280" s="119" t="s">
        <v>263</v>
      </c>
    </row>
    <row r="281" ht="15.75" customHeight="1">
      <c r="A281" s="81">
        <v>299.0</v>
      </c>
      <c r="B281" s="24">
        <v>0.0</v>
      </c>
      <c r="C281" s="82">
        <v>105.0</v>
      </c>
      <c r="D281" s="117">
        <f t="shared" si="60"/>
        <v>86.71</v>
      </c>
      <c r="E281" s="117">
        <f t="shared" si="61"/>
        <v>18.29</v>
      </c>
      <c r="F281" s="38" t="str">
        <f t="shared" si="62"/>
        <v>Okay</v>
      </c>
      <c r="G281" s="59"/>
      <c r="H281" s="119" t="s">
        <v>264</v>
      </c>
    </row>
    <row r="282" ht="15.75" customHeight="1">
      <c r="A282" s="81">
        <v>799.0</v>
      </c>
      <c r="B282" s="24">
        <v>0.0</v>
      </c>
      <c r="C282" s="82">
        <v>285.0</v>
      </c>
      <c r="D282" s="117">
        <f t="shared" si="60"/>
        <v>231.71</v>
      </c>
      <c r="E282" s="117">
        <f t="shared" si="61"/>
        <v>53.29</v>
      </c>
      <c r="F282" s="38" t="str">
        <f t="shared" si="62"/>
        <v>Good</v>
      </c>
      <c r="G282" s="59"/>
      <c r="H282" s="119" t="s">
        <v>265</v>
      </c>
    </row>
    <row r="283" ht="15.75" customHeight="1">
      <c r="A283" s="81">
        <v>99.0</v>
      </c>
      <c r="B283" s="24">
        <v>0.0</v>
      </c>
      <c r="C283" s="82">
        <v>38.0</v>
      </c>
      <c r="D283" s="117">
        <f t="shared" si="60"/>
        <v>28.71</v>
      </c>
      <c r="E283" s="117">
        <f t="shared" si="61"/>
        <v>9.29</v>
      </c>
      <c r="F283" s="38" t="str">
        <f t="shared" si="62"/>
        <v>Okay</v>
      </c>
      <c r="G283" s="59"/>
      <c r="H283" s="119" t="s">
        <v>266</v>
      </c>
    </row>
    <row r="284" ht="15.75" customHeight="1">
      <c r="A284" s="81"/>
      <c r="B284" s="24"/>
      <c r="C284" s="94"/>
      <c r="D284" s="119"/>
      <c r="E284" s="117"/>
      <c r="F284" s="38"/>
      <c r="G284" s="59"/>
      <c r="H284" s="120"/>
    </row>
    <row r="285" ht="15.75" customHeight="1">
      <c r="A285" s="68" t="s">
        <v>267</v>
      </c>
      <c r="B285" s="97"/>
      <c r="C285" s="34"/>
      <c r="D285" s="67"/>
      <c r="E285" s="67"/>
      <c r="F285" s="34"/>
      <c r="G285" s="66"/>
      <c r="H285" s="67"/>
    </row>
    <row r="286" ht="15.75" customHeight="1">
      <c r="A286" s="24">
        <v>4999.0</v>
      </c>
      <c r="B286" s="34" t="s">
        <v>268</v>
      </c>
      <c r="C286" s="121">
        <v>1775.0</v>
      </c>
      <c r="D286" s="24">
        <f t="shared" ref="D286:D294" si="63">(A286/1000)*$I$2</f>
        <v>1449.71</v>
      </c>
      <c r="E286" s="24">
        <f t="shared" ref="E286:E294" si="64">C286-D286</f>
        <v>325.29</v>
      </c>
      <c r="F286" s="55" t="str">
        <f t="shared" ref="F286:F294" si="65">IF(E286&lt;5,"Bad",IF(E286&lt;20,"Okay","Good"))</f>
        <v>Good</v>
      </c>
      <c r="G286" s="66"/>
    </row>
    <row r="287" ht="15.75" customHeight="1">
      <c r="A287" s="24">
        <v>399.0</v>
      </c>
      <c r="B287" s="61" t="s">
        <v>162</v>
      </c>
      <c r="C287" s="121">
        <v>140.0</v>
      </c>
      <c r="D287" s="24">
        <f t="shared" si="63"/>
        <v>115.71</v>
      </c>
      <c r="E287" s="24">
        <f t="shared" si="64"/>
        <v>24.29</v>
      </c>
      <c r="F287" s="55" t="str">
        <f t="shared" si="65"/>
        <v>Good</v>
      </c>
      <c r="G287" s="93"/>
    </row>
    <row r="288" ht="15.75" customHeight="1">
      <c r="A288" s="24">
        <v>249.0</v>
      </c>
      <c r="B288" s="34" t="s">
        <v>269</v>
      </c>
      <c r="C288" s="121">
        <v>95.0</v>
      </c>
      <c r="D288" s="24">
        <f t="shared" si="63"/>
        <v>72.21</v>
      </c>
      <c r="E288" s="24">
        <f t="shared" si="64"/>
        <v>22.79</v>
      </c>
      <c r="F288" s="55" t="str">
        <f t="shared" si="65"/>
        <v>Good</v>
      </c>
      <c r="G288" s="66"/>
    </row>
    <row r="289" ht="15.75" customHeight="1">
      <c r="A289" s="24">
        <v>999.0</v>
      </c>
      <c r="B289" s="34" t="s">
        <v>270</v>
      </c>
      <c r="C289" s="121">
        <v>355.0</v>
      </c>
      <c r="D289" s="24">
        <f t="shared" si="63"/>
        <v>289.71</v>
      </c>
      <c r="E289" s="24">
        <f t="shared" si="64"/>
        <v>65.29</v>
      </c>
      <c r="F289" s="38" t="str">
        <f t="shared" si="65"/>
        <v>Good</v>
      </c>
      <c r="G289" s="66"/>
    </row>
    <row r="290" ht="15.75" customHeight="1">
      <c r="A290" s="23">
        <v>629.0</v>
      </c>
      <c r="B290" s="91" t="s">
        <v>271</v>
      </c>
      <c r="C290" s="121">
        <v>225.0</v>
      </c>
      <c r="D290" s="24">
        <f t="shared" si="63"/>
        <v>182.41</v>
      </c>
      <c r="E290" s="24">
        <f t="shared" si="64"/>
        <v>42.59</v>
      </c>
      <c r="F290" s="38" t="str">
        <f t="shared" si="65"/>
        <v>Good</v>
      </c>
      <c r="G290" s="66"/>
    </row>
    <row r="291" ht="15.75" customHeight="1">
      <c r="A291" s="88">
        <v>479.0</v>
      </c>
      <c r="B291" s="88">
        <v>30.0</v>
      </c>
      <c r="C291" s="122">
        <v>160.0</v>
      </c>
      <c r="D291" s="88">
        <f t="shared" si="63"/>
        <v>138.91</v>
      </c>
      <c r="E291" s="88">
        <f t="shared" si="64"/>
        <v>21.09</v>
      </c>
      <c r="F291" s="89" t="str">
        <f t="shared" si="65"/>
        <v>Good</v>
      </c>
      <c r="G291" s="89"/>
      <c r="H291" s="89" t="s">
        <v>140</v>
      </c>
    </row>
    <row r="292" ht="15.75" customHeight="1">
      <c r="A292" s="88">
        <v>199.0</v>
      </c>
      <c r="B292" s="88">
        <v>100.0</v>
      </c>
      <c r="C292" s="87">
        <v>70.0</v>
      </c>
      <c r="D292" s="88">
        <f t="shared" si="63"/>
        <v>57.71</v>
      </c>
      <c r="E292" s="88">
        <f t="shared" si="64"/>
        <v>12.29</v>
      </c>
      <c r="F292" s="89" t="str">
        <f t="shared" si="65"/>
        <v>Okay</v>
      </c>
      <c r="G292" s="89"/>
      <c r="H292" s="89" t="s">
        <v>141</v>
      </c>
    </row>
    <row r="293" ht="15.75" customHeight="1">
      <c r="A293" s="88">
        <v>79.0</v>
      </c>
      <c r="B293" s="88">
        <v>200.0</v>
      </c>
      <c r="C293" s="88">
        <v>35.0</v>
      </c>
      <c r="D293" s="88">
        <f t="shared" si="63"/>
        <v>22.91</v>
      </c>
      <c r="E293" s="88">
        <f t="shared" si="64"/>
        <v>12.09</v>
      </c>
      <c r="F293" s="89" t="str">
        <f t="shared" si="65"/>
        <v>Okay</v>
      </c>
      <c r="G293" s="89"/>
      <c r="H293" s="89" t="s">
        <v>142</v>
      </c>
    </row>
    <row r="294" ht="15.75" customHeight="1">
      <c r="A294" s="88">
        <v>35.0</v>
      </c>
      <c r="B294" s="88">
        <v>300.0</v>
      </c>
      <c r="C294" s="88">
        <v>15.0</v>
      </c>
      <c r="D294" s="88">
        <f t="shared" si="63"/>
        <v>10.15</v>
      </c>
      <c r="E294" s="88">
        <f t="shared" si="64"/>
        <v>4.85</v>
      </c>
      <c r="F294" s="89" t="str">
        <f t="shared" si="65"/>
        <v>Bad</v>
      </c>
      <c r="G294" s="89"/>
      <c r="H294" s="89" t="s">
        <v>143</v>
      </c>
    </row>
    <row r="295" ht="15.75" customHeight="1">
      <c r="A295" s="34"/>
      <c r="B295" s="34"/>
      <c r="C295" s="34"/>
      <c r="D295" s="34"/>
      <c r="E295" s="34"/>
      <c r="F295" s="34"/>
      <c r="G295" s="66"/>
      <c r="H295" s="34"/>
    </row>
    <row r="296" ht="15.75" customHeight="1">
      <c r="A296" s="66"/>
      <c r="B296" s="34"/>
      <c r="C296" s="34"/>
      <c r="D296" s="61"/>
      <c r="E296" s="61"/>
      <c r="F296" s="61"/>
      <c r="G296" s="93"/>
      <c r="H296" s="61"/>
    </row>
    <row r="297" ht="15.75" customHeight="1">
      <c r="A297" s="68" t="s">
        <v>272</v>
      </c>
      <c r="B297" s="34"/>
      <c r="C297" s="80"/>
      <c r="D297" s="34"/>
      <c r="E297" s="34"/>
      <c r="F297" s="34"/>
      <c r="G297" s="66"/>
      <c r="H297" s="66"/>
    </row>
    <row r="298" ht="15.75" customHeight="1">
      <c r="A298" s="24">
        <v>299.0</v>
      </c>
      <c r="B298" s="109" t="s">
        <v>273</v>
      </c>
      <c r="C298" s="82">
        <v>105.0</v>
      </c>
      <c r="D298" s="24">
        <f t="shared" ref="D298:D313" si="66">(A298/1000)*$I$2</f>
        <v>86.71</v>
      </c>
      <c r="E298" s="24">
        <f t="shared" ref="E298:E313" si="67">C298-D298</f>
        <v>18.29</v>
      </c>
      <c r="F298" s="38" t="str">
        <f t="shared" ref="F298:F313" si="68">IF(E298&lt;5,"Bad",IF(E298&lt;20,"Okay","Good"))</f>
        <v>Okay</v>
      </c>
      <c r="G298" s="59"/>
    </row>
    <row r="299" ht="15.75" customHeight="1">
      <c r="A299" s="24">
        <v>499.0</v>
      </c>
      <c r="B299" s="109" t="s">
        <v>274</v>
      </c>
      <c r="C299" s="82">
        <v>180.0</v>
      </c>
      <c r="D299" s="24">
        <f t="shared" si="66"/>
        <v>144.71</v>
      </c>
      <c r="E299" s="24">
        <f t="shared" si="67"/>
        <v>35.29</v>
      </c>
      <c r="F299" s="55" t="str">
        <f t="shared" si="68"/>
        <v>Good</v>
      </c>
      <c r="G299" s="59"/>
    </row>
    <row r="300" ht="15.75" customHeight="1">
      <c r="A300" s="24">
        <v>299.0</v>
      </c>
      <c r="B300" s="109" t="s">
        <v>162</v>
      </c>
      <c r="C300" s="82">
        <v>105.0</v>
      </c>
      <c r="D300" s="24">
        <f t="shared" si="66"/>
        <v>86.71</v>
      </c>
      <c r="E300" s="24">
        <f t="shared" si="67"/>
        <v>18.29</v>
      </c>
      <c r="F300" s="38" t="str">
        <f t="shared" si="68"/>
        <v>Okay</v>
      </c>
      <c r="G300" s="59"/>
    </row>
    <row r="301" ht="15.75" customHeight="1">
      <c r="A301" s="23">
        <v>125.0</v>
      </c>
      <c r="B301" s="109" t="s">
        <v>275</v>
      </c>
      <c r="C301" s="82">
        <v>48.0</v>
      </c>
      <c r="D301" s="24">
        <f t="shared" si="66"/>
        <v>36.25</v>
      </c>
      <c r="E301" s="24">
        <f t="shared" si="67"/>
        <v>11.75</v>
      </c>
      <c r="F301" s="38" t="str">
        <f t="shared" si="68"/>
        <v>Okay</v>
      </c>
      <c r="G301" s="59"/>
    </row>
    <row r="302" ht="15.75" customHeight="1">
      <c r="A302" s="23">
        <v>250.0</v>
      </c>
      <c r="B302" s="109" t="s">
        <v>276</v>
      </c>
      <c r="C302" s="82">
        <v>95.0</v>
      </c>
      <c r="D302" s="24">
        <f t="shared" si="66"/>
        <v>72.5</v>
      </c>
      <c r="E302" s="24">
        <f t="shared" si="67"/>
        <v>22.5</v>
      </c>
      <c r="F302" s="38" t="str">
        <f t="shared" si="68"/>
        <v>Good</v>
      </c>
      <c r="G302" s="59"/>
    </row>
    <row r="303" ht="15.75" customHeight="1">
      <c r="A303" s="23">
        <v>99.0</v>
      </c>
      <c r="B303" s="109" t="s">
        <v>277</v>
      </c>
      <c r="C303" s="82">
        <v>38.0</v>
      </c>
      <c r="D303" s="24">
        <f t="shared" si="66"/>
        <v>28.71</v>
      </c>
      <c r="E303" s="24">
        <f t="shared" si="67"/>
        <v>9.29</v>
      </c>
      <c r="F303" s="38" t="str">
        <f t="shared" si="68"/>
        <v>Okay</v>
      </c>
      <c r="G303" s="59"/>
    </row>
    <row r="304" ht="15.75" customHeight="1">
      <c r="A304" s="23">
        <v>25.0</v>
      </c>
      <c r="B304" s="109" t="s">
        <v>278</v>
      </c>
      <c r="C304" s="82">
        <v>9.0</v>
      </c>
      <c r="D304" s="24">
        <f t="shared" si="66"/>
        <v>7.25</v>
      </c>
      <c r="E304" s="24">
        <f t="shared" si="67"/>
        <v>1.75</v>
      </c>
      <c r="F304" s="38" t="str">
        <f t="shared" si="68"/>
        <v>Bad</v>
      </c>
      <c r="G304" s="59"/>
    </row>
    <row r="305" ht="15.75" customHeight="1">
      <c r="A305" s="23">
        <v>99.0</v>
      </c>
      <c r="B305" s="123" t="s">
        <v>279</v>
      </c>
      <c r="C305" s="82">
        <v>38.0</v>
      </c>
      <c r="D305" s="24">
        <f t="shared" si="66"/>
        <v>28.71</v>
      </c>
      <c r="E305" s="24">
        <f t="shared" si="67"/>
        <v>9.29</v>
      </c>
      <c r="F305" s="38" t="str">
        <f t="shared" si="68"/>
        <v>Okay</v>
      </c>
      <c r="G305" s="59"/>
    </row>
    <row r="306" ht="15.75" customHeight="1">
      <c r="A306" s="23">
        <v>199.0</v>
      </c>
      <c r="B306" s="109" t="s">
        <v>280</v>
      </c>
      <c r="C306" s="82">
        <v>75.0</v>
      </c>
      <c r="D306" s="24">
        <f t="shared" si="66"/>
        <v>57.71</v>
      </c>
      <c r="E306" s="24">
        <f t="shared" si="67"/>
        <v>17.29</v>
      </c>
      <c r="F306" s="38" t="str">
        <f t="shared" si="68"/>
        <v>Okay</v>
      </c>
      <c r="G306" s="59"/>
    </row>
    <row r="307" ht="15.75" customHeight="1">
      <c r="A307" s="24">
        <v>99.0</v>
      </c>
      <c r="B307" s="109" t="s">
        <v>281</v>
      </c>
      <c r="C307" s="82">
        <v>38.0</v>
      </c>
      <c r="D307" s="24">
        <f t="shared" si="66"/>
        <v>28.71</v>
      </c>
      <c r="E307" s="24">
        <f t="shared" si="67"/>
        <v>9.29</v>
      </c>
      <c r="F307" s="38" t="str">
        <f t="shared" si="68"/>
        <v>Okay</v>
      </c>
      <c r="G307" s="59"/>
    </row>
    <row r="308" ht="15.75" customHeight="1">
      <c r="A308" s="24">
        <v>1250.0</v>
      </c>
      <c r="B308" s="109" t="s">
        <v>282</v>
      </c>
      <c r="C308" s="82">
        <v>450.0</v>
      </c>
      <c r="D308" s="24">
        <f t="shared" si="66"/>
        <v>362.5</v>
      </c>
      <c r="E308" s="24">
        <f t="shared" si="67"/>
        <v>87.5</v>
      </c>
      <c r="F308" s="55" t="str">
        <f t="shared" si="68"/>
        <v>Good</v>
      </c>
      <c r="G308" s="59"/>
    </row>
    <row r="309" ht="15.75" customHeight="1">
      <c r="A309" s="24">
        <v>79.0</v>
      </c>
      <c r="B309" s="109" t="s">
        <v>283</v>
      </c>
      <c r="C309" s="82">
        <v>31.0</v>
      </c>
      <c r="D309" s="24">
        <f t="shared" si="66"/>
        <v>22.91</v>
      </c>
      <c r="E309" s="24">
        <f t="shared" si="67"/>
        <v>8.09</v>
      </c>
      <c r="F309" s="38" t="str">
        <f t="shared" si="68"/>
        <v>Okay</v>
      </c>
      <c r="G309" s="59"/>
    </row>
    <row r="310" ht="15.75" customHeight="1">
      <c r="A310" s="24">
        <v>237.0</v>
      </c>
      <c r="B310" s="109" t="s">
        <v>284</v>
      </c>
      <c r="C310" s="82">
        <v>90.0</v>
      </c>
      <c r="D310" s="24">
        <f t="shared" si="66"/>
        <v>68.73</v>
      </c>
      <c r="E310" s="24">
        <f t="shared" si="67"/>
        <v>21.27</v>
      </c>
      <c r="F310" s="38" t="str">
        <f t="shared" si="68"/>
        <v>Good</v>
      </c>
      <c r="G310" s="59"/>
    </row>
    <row r="311" ht="15.75" customHeight="1">
      <c r="A311" s="24">
        <v>395.0</v>
      </c>
      <c r="B311" s="109" t="s">
        <v>285</v>
      </c>
      <c r="C311" s="82">
        <v>139.0</v>
      </c>
      <c r="D311" s="24">
        <f t="shared" si="66"/>
        <v>114.55</v>
      </c>
      <c r="E311" s="24">
        <f t="shared" si="67"/>
        <v>24.45</v>
      </c>
      <c r="F311" s="38" t="str">
        <f t="shared" si="68"/>
        <v>Good</v>
      </c>
      <c r="G311" s="59"/>
    </row>
    <row r="312" ht="15.75" customHeight="1">
      <c r="A312" s="23">
        <v>199.0</v>
      </c>
      <c r="B312" s="109" t="s">
        <v>286</v>
      </c>
      <c r="C312" s="82">
        <v>75.0</v>
      </c>
      <c r="D312" s="24">
        <f t="shared" si="66"/>
        <v>57.71</v>
      </c>
      <c r="E312" s="24">
        <f t="shared" si="67"/>
        <v>17.29</v>
      </c>
      <c r="F312" s="38" t="str">
        <f t="shared" si="68"/>
        <v>Okay</v>
      </c>
      <c r="G312" s="59"/>
    </row>
    <row r="313" ht="15.75" customHeight="1">
      <c r="A313" s="23">
        <v>299.0</v>
      </c>
      <c r="B313" s="109" t="s">
        <v>287</v>
      </c>
      <c r="C313" s="82">
        <v>105.0</v>
      </c>
      <c r="D313" s="117">
        <f t="shared" si="66"/>
        <v>86.71</v>
      </c>
      <c r="E313" s="117">
        <f t="shared" si="67"/>
        <v>18.29</v>
      </c>
      <c r="F313" s="38" t="str">
        <f t="shared" si="68"/>
        <v>Okay</v>
      </c>
      <c r="G313" s="59"/>
    </row>
    <row r="314" ht="15.75" customHeight="1">
      <c r="A314" s="34"/>
      <c r="B314" s="34"/>
      <c r="C314" s="80"/>
      <c r="D314" s="34"/>
      <c r="E314" s="34"/>
      <c r="F314" s="34"/>
      <c r="G314" s="66"/>
      <c r="H314" s="66"/>
    </row>
    <row r="315" ht="15.75" customHeight="1">
      <c r="A315" s="68" t="s">
        <v>288</v>
      </c>
      <c r="B315" s="90" t="s">
        <v>130</v>
      </c>
      <c r="C315" s="80"/>
      <c r="D315" s="67"/>
      <c r="E315" s="34"/>
      <c r="F315" s="34"/>
      <c r="G315" s="66"/>
      <c r="H315" s="66"/>
    </row>
    <row r="316" ht="15.75" customHeight="1">
      <c r="A316" s="23">
        <v>280.0</v>
      </c>
      <c r="B316" s="66" t="s">
        <v>289</v>
      </c>
      <c r="C316" s="82">
        <v>105.0</v>
      </c>
      <c r="D316" s="24">
        <f t="shared" ref="D316:D332" si="69">(A316/1000)*$I$2</f>
        <v>81.2</v>
      </c>
      <c r="E316" s="24">
        <f t="shared" ref="E316:E332" si="70">C316-D316</f>
        <v>23.8</v>
      </c>
      <c r="F316" s="38" t="str">
        <f t="shared" ref="F316:F332" si="71">IF(E316&lt;5,"Bad",IF(E316&lt;20,"Okay","Good"))</f>
        <v>Good</v>
      </c>
      <c r="G316" s="59"/>
    </row>
    <row r="317" ht="15.75" customHeight="1">
      <c r="A317" s="23">
        <v>400.0</v>
      </c>
      <c r="B317" s="66" t="s">
        <v>290</v>
      </c>
      <c r="C317" s="82">
        <v>140.0</v>
      </c>
      <c r="D317" s="24">
        <f t="shared" si="69"/>
        <v>116</v>
      </c>
      <c r="E317" s="24">
        <f t="shared" si="70"/>
        <v>24</v>
      </c>
      <c r="F317" s="55" t="str">
        <f t="shared" si="71"/>
        <v>Good</v>
      </c>
      <c r="G317" s="59"/>
    </row>
    <row r="318" ht="15.75" customHeight="1">
      <c r="A318" s="23">
        <v>400.0</v>
      </c>
      <c r="B318" s="109" t="s">
        <v>291</v>
      </c>
      <c r="C318" s="82">
        <v>140.0</v>
      </c>
      <c r="D318" s="60">
        <f t="shared" si="69"/>
        <v>116</v>
      </c>
      <c r="E318" s="60">
        <f t="shared" si="70"/>
        <v>24</v>
      </c>
      <c r="F318" s="99" t="str">
        <f t="shared" si="71"/>
        <v>Good</v>
      </c>
      <c r="G318" s="100"/>
    </row>
    <row r="319" ht="15.75" customHeight="1">
      <c r="A319" s="23">
        <v>240.0</v>
      </c>
      <c r="B319" s="93" t="s">
        <v>292</v>
      </c>
      <c r="C319" s="82">
        <v>90.0</v>
      </c>
      <c r="D319" s="60">
        <f t="shared" si="69"/>
        <v>69.6</v>
      </c>
      <c r="E319" s="60">
        <f t="shared" si="70"/>
        <v>20.4</v>
      </c>
      <c r="F319" s="99" t="str">
        <f t="shared" si="71"/>
        <v>Good</v>
      </c>
      <c r="G319" s="100"/>
    </row>
    <row r="320" ht="15.75" customHeight="1">
      <c r="A320" s="23">
        <v>400.0</v>
      </c>
      <c r="B320" s="93" t="s">
        <v>293</v>
      </c>
      <c r="C320" s="82">
        <v>140.0</v>
      </c>
      <c r="D320" s="60">
        <f t="shared" si="69"/>
        <v>116</v>
      </c>
      <c r="E320" s="60">
        <f t="shared" si="70"/>
        <v>24</v>
      </c>
      <c r="F320" s="92" t="str">
        <f t="shared" si="71"/>
        <v>Good</v>
      </c>
      <c r="G320" s="93"/>
    </row>
    <row r="321" ht="15.75" customHeight="1">
      <c r="A321" s="23">
        <v>280.0</v>
      </c>
      <c r="B321" s="93" t="s">
        <v>294</v>
      </c>
      <c r="C321" s="82">
        <v>105.0</v>
      </c>
      <c r="D321" s="60">
        <f t="shared" si="69"/>
        <v>81.2</v>
      </c>
      <c r="E321" s="60">
        <f t="shared" si="70"/>
        <v>23.8</v>
      </c>
      <c r="F321" s="92" t="str">
        <f t="shared" si="71"/>
        <v>Good</v>
      </c>
      <c r="G321" s="100"/>
    </row>
    <row r="322" ht="15.75" customHeight="1">
      <c r="A322" s="23">
        <v>240.0</v>
      </c>
      <c r="B322" s="93" t="s">
        <v>295</v>
      </c>
      <c r="C322" s="82">
        <v>90.0</v>
      </c>
      <c r="D322" s="60">
        <f t="shared" si="69"/>
        <v>69.6</v>
      </c>
      <c r="E322" s="60">
        <f t="shared" si="70"/>
        <v>20.4</v>
      </c>
      <c r="F322" s="99" t="str">
        <f t="shared" si="71"/>
        <v>Good</v>
      </c>
      <c r="G322" s="100"/>
    </row>
    <row r="323" ht="15.75" customHeight="1">
      <c r="A323" s="23">
        <v>560.0</v>
      </c>
      <c r="B323" s="93" t="s">
        <v>296</v>
      </c>
      <c r="C323" s="82">
        <v>200.0</v>
      </c>
      <c r="D323" s="60">
        <f t="shared" si="69"/>
        <v>162.4</v>
      </c>
      <c r="E323" s="60">
        <f t="shared" si="70"/>
        <v>37.6</v>
      </c>
      <c r="F323" s="92" t="str">
        <f t="shared" si="71"/>
        <v>Good</v>
      </c>
      <c r="G323" s="100"/>
    </row>
    <row r="324" ht="15.75" customHeight="1">
      <c r="A324" s="23">
        <v>320.0</v>
      </c>
      <c r="B324" s="93" t="s">
        <v>297</v>
      </c>
      <c r="C324" s="82">
        <v>140.0</v>
      </c>
      <c r="D324" s="60">
        <f t="shared" si="69"/>
        <v>92.8</v>
      </c>
      <c r="E324" s="60">
        <f t="shared" si="70"/>
        <v>47.2</v>
      </c>
      <c r="F324" s="99" t="str">
        <f t="shared" si="71"/>
        <v>Good</v>
      </c>
      <c r="G324" s="100"/>
    </row>
    <row r="325" ht="15.75" customHeight="1">
      <c r="A325" s="23">
        <v>480.0</v>
      </c>
      <c r="B325" s="93" t="s">
        <v>298</v>
      </c>
      <c r="C325" s="82">
        <v>170.0</v>
      </c>
      <c r="D325" s="60">
        <f t="shared" si="69"/>
        <v>139.2</v>
      </c>
      <c r="E325" s="60">
        <f t="shared" si="70"/>
        <v>30.8</v>
      </c>
      <c r="F325" s="99" t="str">
        <f t="shared" si="71"/>
        <v>Good</v>
      </c>
      <c r="G325" s="100"/>
    </row>
    <row r="326" ht="15.75" customHeight="1">
      <c r="A326" s="23">
        <v>480.0</v>
      </c>
      <c r="B326" s="109" t="s">
        <v>299</v>
      </c>
      <c r="C326" s="82">
        <v>170.0</v>
      </c>
      <c r="D326" s="60">
        <f t="shared" si="69"/>
        <v>139.2</v>
      </c>
      <c r="E326" s="60">
        <f t="shared" si="70"/>
        <v>30.8</v>
      </c>
      <c r="F326" s="99" t="str">
        <f t="shared" si="71"/>
        <v>Good</v>
      </c>
      <c r="G326" s="100"/>
    </row>
    <row r="327" ht="15.75" customHeight="1">
      <c r="A327" s="60">
        <v>90.0</v>
      </c>
      <c r="B327" s="66" t="s">
        <v>300</v>
      </c>
      <c r="C327" s="82">
        <v>35.0</v>
      </c>
      <c r="D327" s="60">
        <f t="shared" si="69"/>
        <v>26.1</v>
      </c>
      <c r="E327" s="60">
        <f t="shared" si="70"/>
        <v>8.9</v>
      </c>
      <c r="F327" s="99" t="str">
        <f t="shared" si="71"/>
        <v>Okay</v>
      </c>
      <c r="G327" s="100"/>
    </row>
    <row r="328" ht="15.75" customHeight="1">
      <c r="A328" s="23">
        <v>280.0</v>
      </c>
      <c r="B328" s="66" t="s">
        <v>301</v>
      </c>
      <c r="C328" s="82">
        <v>105.0</v>
      </c>
      <c r="D328" s="60">
        <f t="shared" si="69"/>
        <v>81.2</v>
      </c>
      <c r="E328" s="60">
        <f t="shared" si="70"/>
        <v>23.8</v>
      </c>
      <c r="F328" s="92" t="str">
        <f t="shared" si="71"/>
        <v>Good</v>
      </c>
      <c r="G328" s="100"/>
    </row>
    <row r="329" ht="15.75" customHeight="1">
      <c r="A329" s="23">
        <v>480.0</v>
      </c>
      <c r="B329" s="93" t="s">
        <v>302</v>
      </c>
      <c r="C329" s="82">
        <v>170.0</v>
      </c>
      <c r="D329" s="24">
        <f t="shared" si="69"/>
        <v>139.2</v>
      </c>
      <c r="E329" s="60">
        <f t="shared" si="70"/>
        <v>30.8</v>
      </c>
      <c r="F329" s="99" t="str">
        <f t="shared" si="71"/>
        <v>Good</v>
      </c>
      <c r="G329" s="100"/>
    </row>
    <row r="330" ht="15.75" customHeight="1">
      <c r="A330" s="24">
        <v>300.0</v>
      </c>
      <c r="B330" s="93" t="s">
        <v>303</v>
      </c>
      <c r="C330" s="82">
        <v>105.0</v>
      </c>
      <c r="D330" s="24">
        <f t="shared" si="69"/>
        <v>87</v>
      </c>
      <c r="E330" s="60">
        <f t="shared" si="70"/>
        <v>18</v>
      </c>
      <c r="F330" s="99" t="str">
        <f t="shared" si="71"/>
        <v>Okay</v>
      </c>
      <c r="G330" s="100"/>
    </row>
    <row r="331" ht="15.75" customHeight="1">
      <c r="A331" s="24">
        <v>1100.0</v>
      </c>
      <c r="B331" s="124" t="s">
        <v>304</v>
      </c>
      <c r="C331" s="82">
        <v>390.0</v>
      </c>
      <c r="D331" s="24">
        <f t="shared" si="69"/>
        <v>319</v>
      </c>
      <c r="E331" s="24">
        <f t="shared" si="70"/>
        <v>71</v>
      </c>
      <c r="F331" s="55" t="str">
        <f t="shared" si="71"/>
        <v>Good</v>
      </c>
      <c r="G331" s="100"/>
    </row>
    <row r="332" ht="15.75" customHeight="1">
      <c r="A332" s="91">
        <v>480.0</v>
      </c>
      <c r="B332" s="91" t="s">
        <v>305</v>
      </c>
      <c r="C332" s="82">
        <v>170.0</v>
      </c>
      <c r="D332" s="24">
        <f t="shared" si="69"/>
        <v>139.2</v>
      </c>
      <c r="E332" s="24">
        <f t="shared" si="70"/>
        <v>30.8</v>
      </c>
      <c r="F332" s="55" t="str">
        <f t="shared" si="71"/>
        <v>Good</v>
      </c>
      <c r="G332" s="93"/>
    </row>
    <row r="333" ht="15.75" customHeight="1">
      <c r="A333" s="93"/>
      <c r="B333" s="93"/>
      <c r="C333" s="66"/>
      <c r="D333" s="93"/>
      <c r="E333" s="93"/>
      <c r="F333" s="93"/>
      <c r="G333" s="93"/>
      <c r="H333" s="93"/>
    </row>
    <row r="334" ht="15.75" customHeight="1">
      <c r="A334" s="125" t="s">
        <v>306</v>
      </c>
      <c r="B334" s="89"/>
      <c r="C334" s="125"/>
      <c r="D334" s="89"/>
      <c r="E334" s="89"/>
      <c r="F334" s="89"/>
      <c r="G334" s="66"/>
      <c r="H334" s="111"/>
    </row>
    <row r="335" ht="15.75" customHeight="1">
      <c r="A335" s="126">
        <v>39.0</v>
      </c>
      <c r="B335" s="88">
        <v>0.0</v>
      </c>
      <c r="C335" s="127">
        <v>15.0</v>
      </c>
      <c r="D335" s="88">
        <f t="shared" ref="D335:D341" si="72">(A335/1000)*$I$2</f>
        <v>11.31</v>
      </c>
      <c r="E335" s="88">
        <f t="shared" ref="E335:E341" si="73">C335-D335</f>
        <v>3.69</v>
      </c>
      <c r="F335" s="89" t="str">
        <f t="shared" ref="F335:F341" si="74">IF(E335&lt;5,"Bad",IF(E335&lt;20,"Okay","Good"))</f>
        <v>Bad</v>
      </c>
      <c r="G335" s="59"/>
      <c r="H335" s="128">
        <v>180.0</v>
      </c>
    </row>
    <row r="336" ht="15.75" customHeight="1">
      <c r="A336" s="126">
        <v>79.0</v>
      </c>
      <c r="B336" s="88">
        <v>0.0</v>
      </c>
      <c r="C336" s="127">
        <v>35.0</v>
      </c>
      <c r="D336" s="88">
        <f t="shared" si="72"/>
        <v>22.91</v>
      </c>
      <c r="E336" s="88">
        <f t="shared" si="73"/>
        <v>12.09</v>
      </c>
      <c r="F336" s="89" t="str">
        <f t="shared" si="74"/>
        <v>Okay</v>
      </c>
      <c r="G336" s="59"/>
      <c r="H336" s="128">
        <v>390.0</v>
      </c>
    </row>
    <row r="337" ht="15.75" customHeight="1">
      <c r="A337" s="85">
        <v>199.0</v>
      </c>
      <c r="B337" s="88">
        <v>0.0</v>
      </c>
      <c r="C337" s="127">
        <v>65.0</v>
      </c>
      <c r="D337" s="88">
        <f t="shared" si="72"/>
        <v>57.71</v>
      </c>
      <c r="E337" s="129">
        <f t="shared" si="73"/>
        <v>7.29</v>
      </c>
      <c r="F337" s="89" t="str">
        <f t="shared" si="74"/>
        <v>Okay</v>
      </c>
      <c r="G337" s="59"/>
      <c r="H337" s="116">
        <v>1000.0</v>
      </c>
    </row>
    <row r="338" ht="15.75" customHeight="1">
      <c r="A338" s="85">
        <v>599.0</v>
      </c>
      <c r="B338" s="88">
        <v>0.0</v>
      </c>
      <c r="C338" s="127">
        <v>165.0</v>
      </c>
      <c r="D338" s="88">
        <f t="shared" si="72"/>
        <v>173.71</v>
      </c>
      <c r="E338" s="129">
        <f t="shared" si="73"/>
        <v>-8.71</v>
      </c>
      <c r="F338" s="89" t="str">
        <f t="shared" si="74"/>
        <v>Bad</v>
      </c>
      <c r="G338" s="59"/>
      <c r="H338" s="116">
        <v>3150.0</v>
      </c>
    </row>
    <row r="339" ht="15.75" customHeight="1">
      <c r="A339" s="85">
        <v>1599.0</v>
      </c>
      <c r="B339" s="88">
        <v>0.0</v>
      </c>
      <c r="C339" s="127">
        <v>435.0</v>
      </c>
      <c r="D339" s="88">
        <f t="shared" si="72"/>
        <v>463.71</v>
      </c>
      <c r="E339" s="129">
        <f t="shared" si="73"/>
        <v>-28.71</v>
      </c>
      <c r="F339" s="89" t="str">
        <f t="shared" si="74"/>
        <v>Bad</v>
      </c>
      <c r="G339" s="59"/>
      <c r="H339" s="116">
        <v>9000.0</v>
      </c>
    </row>
    <row r="340" ht="15.75" customHeight="1">
      <c r="A340" s="85">
        <v>4499.0</v>
      </c>
      <c r="B340" s="88">
        <v>0.0</v>
      </c>
      <c r="C340" s="127">
        <v>1190.0</v>
      </c>
      <c r="D340" s="88">
        <f t="shared" si="72"/>
        <v>1304.71</v>
      </c>
      <c r="E340" s="129">
        <f t="shared" si="73"/>
        <v>-114.71</v>
      </c>
      <c r="F340" s="89" t="str">
        <f t="shared" si="74"/>
        <v>Bad</v>
      </c>
      <c r="G340" s="59"/>
      <c r="H340" s="116">
        <v>27000.0</v>
      </c>
    </row>
    <row r="341" ht="15.75" customHeight="1">
      <c r="A341" s="85">
        <v>499.0</v>
      </c>
      <c r="B341" s="88">
        <v>0.0</v>
      </c>
      <c r="C341" s="127">
        <v>140.0</v>
      </c>
      <c r="D341" s="88">
        <f t="shared" si="72"/>
        <v>144.71</v>
      </c>
      <c r="E341" s="129">
        <f t="shared" si="73"/>
        <v>-4.71</v>
      </c>
      <c r="F341" s="89" t="str">
        <f t="shared" si="74"/>
        <v>Bad</v>
      </c>
      <c r="G341" s="59"/>
      <c r="H341" s="119" t="s">
        <v>307</v>
      </c>
    </row>
    <row r="342" ht="15.75" customHeight="1">
      <c r="A342" s="130"/>
      <c r="B342" s="59"/>
      <c r="C342" s="59"/>
      <c r="D342" s="131"/>
      <c r="E342" s="131"/>
      <c r="F342" s="66"/>
      <c r="G342" s="59"/>
      <c r="H342" s="132"/>
    </row>
    <row r="343" ht="15.75" customHeight="1">
      <c r="A343" s="130"/>
      <c r="B343" s="59"/>
      <c r="C343" s="59"/>
      <c r="D343" s="59"/>
      <c r="E343" s="59"/>
      <c r="F343" s="66"/>
      <c r="G343" s="59"/>
      <c r="H343" s="132"/>
    </row>
    <row r="344" ht="15.75" customHeight="1">
      <c r="A344" s="130"/>
      <c r="B344" s="59"/>
      <c r="C344" s="59"/>
      <c r="D344" s="131"/>
      <c r="E344" s="59"/>
      <c r="F344" s="66"/>
      <c r="G344" s="59"/>
      <c r="H344" s="132"/>
    </row>
    <row r="345" ht="15.75" customHeight="1">
      <c r="A345" s="130"/>
      <c r="B345" s="59"/>
      <c r="C345" s="59"/>
      <c r="D345" s="59"/>
      <c r="E345" s="59"/>
      <c r="F345" s="66"/>
      <c r="G345" s="59"/>
      <c r="H345" s="132"/>
    </row>
    <row r="346" ht="15.75" customHeight="1">
      <c r="A346" s="130"/>
      <c r="B346" s="59"/>
      <c r="C346" s="59"/>
      <c r="D346" s="59"/>
      <c r="E346" s="59"/>
      <c r="F346" s="66"/>
      <c r="G346" s="59"/>
      <c r="H346" s="132"/>
    </row>
    <row r="347" ht="15.75" customHeight="1">
      <c r="A347" s="130"/>
      <c r="B347" s="59"/>
      <c r="C347" s="59"/>
      <c r="D347" s="59"/>
      <c r="E347" s="59"/>
      <c r="F347" s="66"/>
      <c r="G347" s="59"/>
      <c r="H347" s="132"/>
    </row>
    <row r="348" ht="15.75" customHeight="1">
      <c r="A348" s="59"/>
      <c r="B348" s="59"/>
      <c r="C348" s="59"/>
      <c r="D348" s="59"/>
      <c r="E348" s="59"/>
      <c r="F348" s="66"/>
      <c r="G348" s="59"/>
      <c r="H348" s="84"/>
    </row>
    <row r="349" ht="15.75" customHeight="1">
      <c r="A349" s="59"/>
      <c r="B349" s="59"/>
      <c r="C349" s="59"/>
      <c r="D349" s="59"/>
      <c r="E349" s="59"/>
      <c r="F349" s="66"/>
      <c r="G349" s="59"/>
      <c r="H349" s="66"/>
    </row>
    <row r="350" ht="15.75" customHeight="1">
      <c r="A350" s="59"/>
      <c r="B350" s="59"/>
      <c r="C350" s="59"/>
      <c r="D350" s="59"/>
      <c r="E350" s="59"/>
      <c r="F350" s="66"/>
      <c r="G350" s="66"/>
      <c r="H350" s="133"/>
    </row>
    <row r="351" ht="15.75" customHeight="1">
      <c r="A351" s="59"/>
      <c r="B351" s="59"/>
      <c r="C351" s="59"/>
      <c r="D351" s="59"/>
      <c r="E351" s="59"/>
      <c r="F351" s="66"/>
      <c r="G351" s="66"/>
      <c r="H351" s="133"/>
    </row>
    <row r="352" ht="15.75" customHeight="1">
      <c r="A352" s="59"/>
      <c r="B352" s="100"/>
      <c r="C352" s="100"/>
      <c r="D352" s="100"/>
      <c r="E352" s="100"/>
      <c r="F352" s="93"/>
      <c r="G352" s="93"/>
      <c r="H352" s="134"/>
    </row>
    <row r="353" ht="15.75" customHeight="1">
      <c r="A353" s="59"/>
      <c r="B353" s="59"/>
      <c r="C353" s="59"/>
      <c r="D353" s="59"/>
      <c r="E353" s="59"/>
      <c r="F353" s="66"/>
      <c r="G353" s="66"/>
      <c r="H353" s="133"/>
    </row>
    <row r="354" ht="15.75" customHeight="1">
      <c r="A354" s="59"/>
      <c r="B354" s="59"/>
      <c r="C354" s="59"/>
      <c r="D354" s="59"/>
      <c r="E354" s="59"/>
      <c r="F354" s="66"/>
      <c r="G354" s="66"/>
      <c r="H354" s="133"/>
    </row>
    <row r="355" ht="15.75" customHeight="1">
      <c r="A355" s="59"/>
      <c r="B355" s="59"/>
      <c r="C355" s="59"/>
      <c r="D355" s="59"/>
      <c r="E355" s="59"/>
      <c r="F355" s="66"/>
      <c r="G355" s="66"/>
      <c r="H355" s="133"/>
    </row>
    <row r="356" ht="15.75" customHeight="1">
      <c r="A356" s="59"/>
      <c r="B356" s="66"/>
      <c r="C356" s="59"/>
      <c r="D356" s="59"/>
      <c r="E356" s="59"/>
      <c r="F356" s="66"/>
      <c r="G356" s="66"/>
      <c r="H356" s="66"/>
    </row>
    <row r="357" ht="15.75" customHeight="1">
      <c r="A357" s="59"/>
      <c r="B357" s="59"/>
      <c r="C357" s="59"/>
      <c r="D357" s="59"/>
      <c r="E357" s="59"/>
      <c r="F357" s="66"/>
      <c r="G357" s="66"/>
      <c r="H357" s="66"/>
    </row>
    <row r="358" ht="15.75" customHeight="1">
      <c r="A358" s="59"/>
      <c r="B358" s="59"/>
      <c r="C358" s="59"/>
      <c r="D358" s="59"/>
      <c r="E358" s="59"/>
      <c r="F358" s="66"/>
      <c r="G358" s="66"/>
      <c r="H358" s="66"/>
    </row>
    <row r="359" ht="15.75" customHeight="1">
      <c r="A359" s="100"/>
      <c r="B359" s="100"/>
      <c r="C359" s="100"/>
      <c r="D359" s="100"/>
      <c r="E359" s="100"/>
      <c r="F359" s="93"/>
      <c r="G359" s="93"/>
      <c r="H359" s="93"/>
    </row>
    <row r="360" ht="15.75" customHeight="1">
      <c r="A360" s="100"/>
      <c r="B360" s="100"/>
      <c r="C360" s="100"/>
      <c r="D360" s="100"/>
      <c r="E360" s="100"/>
      <c r="F360" s="93"/>
      <c r="G360" s="93"/>
      <c r="H360" s="93"/>
    </row>
    <row r="361" ht="15.75" customHeight="1">
      <c r="A361" s="93"/>
      <c r="B361" s="93"/>
      <c r="C361" s="93"/>
      <c r="D361" s="113"/>
      <c r="E361" s="93"/>
      <c r="F361" s="93"/>
      <c r="G361" s="93"/>
      <c r="H361" s="93"/>
    </row>
    <row r="362" ht="15.75" customHeight="1">
      <c r="A362" s="93"/>
      <c r="B362" s="93"/>
      <c r="C362" s="66"/>
      <c r="D362" s="93"/>
      <c r="E362" s="93"/>
      <c r="F362" s="93"/>
      <c r="G362" s="66"/>
      <c r="H362" s="93"/>
    </row>
    <row r="363" ht="15.75" customHeight="1">
      <c r="A363" s="130"/>
      <c r="B363" s="100"/>
      <c r="C363" s="100"/>
      <c r="D363" s="100"/>
      <c r="E363" s="100"/>
      <c r="F363" s="93"/>
      <c r="G363" s="59"/>
      <c r="H363" s="135"/>
    </row>
    <row r="364" ht="15.75" customHeight="1">
      <c r="A364" s="130"/>
      <c r="B364" s="59"/>
      <c r="C364" s="59"/>
      <c r="D364" s="59"/>
      <c r="E364" s="59"/>
      <c r="F364" s="66"/>
      <c r="G364" s="100"/>
      <c r="H364" s="135"/>
    </row>
    <row r="365" ht="15.75" customHeight="1">
      <c r="A365" s="130"/>
      <c r="B365" s="59"/>
      <c r="C365" s="59"/>
      <c r="D365" s="59"/>
      <c r="E365" s="59"/>
      <c r="F365" s="66"/>
      <c r="G365" s="100"/>
      <c r="H365" s="135"/>
    </row>
    <row r="366" ht="15.75" customHeight="1">
      <c r="A366" s="130"/>
      <c r="B366" s="59"/>
      <c r="C366" s="59"/>
      <c r="D366" s="59"/>
      <c r="E366" s="59"/>
      <c r="F366" s="66"/>
      <c r="G366" s="100"/>
      <c r="H366" s="135"/>
    </row>
    <row r="367" ht="15.75" customHeight="1">
      <c r="A367" s="130"/>
      <c r="B367" s="59"/>
      <c r="C367" s="59"/>
      <c r="D367" s="59"/>
      <c r="E367" s="59"/>
      <c r="F367" s="66"/>
      <c r="G367" s="100"/>
      <c r="H367" s="135"/>
    </row>
    <row r="368" ht="15.75" customHeight="1">
      <c r="A368" s="130"/>
      <c r="B368" s="59"/>
      <c r="C368" s="59"/>
      <c r="D368" s="59"/>
      <c r="E368" s="59"/>
      <c r="F368" s="66"/>
      <c r="G368" s="100"/>
      <c r="H368" s="135"/>
    </row>
    <row r="369" ht="15.75" customHeight="1">
      <c r="A369" s="130"/>
      <c r="B369" s="59"/>
      <c r="C369" s="59"/>
      <c r="D369" s="59"/>
      <c r="E369" s="59"/>
      <c r="F369" s="66"/>
      <c r="G369" s="100"/>
      <c r="H369" s="135"/>
    </row>
    <row r="370" ht="15.75" customHeight="1">
      <c r="A370" s="130"/>
      <c r="B370" s="59"/>
      <c r="C370" s="59"/>
      <c r="D370" s="59"/>
      <c r="E370" s="59"/>
      <c r="F370" s="66"/>
      <c r="G370" s="100"/>
      <c r="H370" s="135"/>
    </row>
    <row r="371" ht="15.75" customHeight="1">
      <c r="A371" s="130"/>
      <c r="B371" s="59"/>
      <c r="C371" s="59"/>
      <c r="D371" s="59"/>
      <c r="E371" s="59"/>
      <c r="F371" s="66"/>
      <c r="G371" s="100"/>
      <c r="H371" s="135"/>
    </row>
    <row r="372" ht="15.75" customHeight="1">
      <c r="A372" s="130"/>
      <c r="B372" s="59"/>
      <c r="C372" s="59"/>
      <c r="D372" s="59"/>
      <c r="E372" s="59"/>
      <c r="F372" s="66"/>
      <c r="G372" s="100"/>
      <c r="H372" s="135"/>
    </row>
    <row r="373" ht="15.75" customHeight="1">
      <c r="A373" s="130"/>
      <c r="B373" s="59"/>
      <c r="C373" s="59"/>
      <c r="D373" s="59"/>
      <c r="E373" s="59"/>
      <c r="F373" s="66"/>
      <c r="G373" s="100"/>
      <c r="H373" s="135"/>
    </row>
    <row r="374" ht="15.75" customHeight="1">
      <c r="A374" s="136"/>
      <c r="B374" s="100"/>
      <c r="C374" s="100"/>
      <c r="D374" s="100"/>
      <c r="E374" s="100"/>
      <c r="F374" s="93"/>
      <c r="G374" s="100"/>
      <c r="H374" s="135"/>
    </row>
    <row r="375" ht="15.75" customHeight="1">
      <c r="A375" s="130"/>
      <c r="B375" s="100"/>
      <c r="C375" s="100"/>
      <c r="D375" s="100"/>
      <c r="E375" s="100"/>
      <c r="F375" s="93"/>
      <c r="G375" s="100"/>
      <c r="H375" s="135"/>
    </row>
    <row r="376" ht="15.75" customHeight="1">
      <c r="A376" s="130"/>
      <c r="B376" s="59"/>
      <c r="C376" s="59"/>
      <c r="D376" s="59"/>
      <c r="E376" s="59"/>
      <c r="F376" s="66"/>
      <c r="G376" s="59"/>
      <c r="H376" s="132"/>
    </row>
    <row r="377" ht="15.75" customHeight="1">
      <c r="A377" s="59"/>
      <c r="B377" s="100"/>
      <c r="C377" s="59"/>
      <c r="D377" s="59"/>
      <c r="E377" s="59"/>
      <c r="F377" s="66"/>
      <c r="G377" s="59"/>
      <c r="H377" s="84"/>
    </row>
    <row r="378" ht="15.75" customHeight="1">
      <c r="A378" s="59"/>
      <c r="B378" s="100"/>
      <c r="C378" s="59"/>
      <c r="D378" s="59"/>
      <c r="E378" s="59"/>
      <c r="F378" s="66"/>
      <c r="G378" s="59"/>
      <c r="H378" s="66"/>
    </row>
    <row r="379" ht="15.75" customHeight="1">
      <c r="A379" s="59"/>
      <c r="B379" s="100"/>
      <c r="C379" s="59"/>
      <c r="D379" s="59"/>
      <c r="E379" s="59"/>
      <c r="F379" s="66"/>
      <c r="G379" s="66"/>
      <c r="H379" s="133"/>
    </row>
    <row r="380" ht="15.75" customHeight="1">
      <c r="A380" s="59"/>
      <c r="B380" s="100"/>
      <c r="C380" s="59"/>
      <c r="D380" s="59"/>
      <c r="E380" s="59"/>
      <c r="F380" s="66"/>
      <c r="G380" s="66"/>
      <c r="H380" s="133"/>
    </row>
    <row r="381" ht="15.75" customHeight="1">
      <c r="A381" s="59"/>
      <c r="B381" s="100"/>
      <c r="C381" s="59"/>
      <c r="D381" s="59"/>
      <c r="E381" s="59"/>
      <c r="F381" s="66"/>
      <c r="G381" s="66"/>
      <c r="H381" s="133"/>
    </row>
    <row r="382" ht="15.75" customHeight="1">
      <c r="A382" s="59"/>
      <c r="B382" s="100"/>
      <c r="C382" s="59"/>
      <c r="D382" s="59"/>
      <c r="E382" s="59"/>
      <c r="F382" s="66"/>
      <c r="G382" s="66"/>
      <c r="H382" s="133"/>
    </row>
    <row r="383" ht="15.75" customHeight="1">
      <c r="A383" s="59"/>
      <c r="B383" s="100"/>
      <c r="C383" s="59"/>
      <c r="D383" s="59"/>
      <c r="E383" s="59"/>
      <c r="F383" s="66"/>
      <c r="G383" s="66"/>
      <c r="H383" s="133"/>
    </row>
    <row r="384" ht="15.75" customHeight="1">
      <c r="A384" s="100"/>
      <c r="B384" s="100"/>
      <c r="C384" s="100"/>
      <c r="D384" s="100"/>
      <c r="E384" s="100"/>
      <c r="F384" s="93"/>
      <c r="G384" s="93"/>
      <c r="H384" s="134"/>
    </row>
    <row r="385" ht="15.75" customHeight="1">
      <c r="A385" s="100"/>
      <c r="B385" s="93"/>
      <c r="C385" s="100"/>
      <c r="D385" s="100"/>
      <c r="E385" s="100"/>
      <c r="F385" s="93"/>
      <c r="G385" s="93"/>
      <c r="H385" s="93"/>
    </row>
    <row r="386" ht="15.75" customHeight="1">
      <c r="A386" s="100"/>
      <c r="B386" s="100"/>
      <c r="C386" s="100"/>
      <c r="D386" s="100"/>
      <c r="E386" s="100"/>
      <c r="F386" s="93"/>
      <c r="G386" s="93"/>
      <c r="H386" s="93"/>
    </row>
    <row r="387" ht="15.75" customHeight="1">
      <c r="A387" s="100"/>
      <c r="B387" s="100"/>
      <c r="C387" s="100"/>
      <c r="D387" s="100"/>
      <c r="E387" s="100"/>
      <c r="F387" s="93"/>
      <c r="G387" s="93"/>
      <c r="H387" s="93"/>
    </row>
    <row r="388" ht="15.75" customHeight="1">
      <c r="A388" s="100"/>
      <c r="B388" s="100"/>
      <c r="C388" s="100"/>
      <c r="D388" s="100"/>
      <c r="E388" s="100"/>
      <c r="F388" s="93"/>
      <c r="G388" s="93"/>
      <c r="H388" s="93"/>
    </row>
    <row r="389" ht="15.75" customHeight="1">
      <c r="A389" s="59"/>
      <c r="B389" s="59"/>
      <c r="C389" s="59"/>
      <c r="D389" s="59"/>
      <c r="E389" s="59"/>
      <c r="F389" s="66"/>
      <c r="G389" s="66"/>
      <c r="H389" s="66"/>
    </row>
    <row r="390" ht="15.75" customHeight="1">
      <c r="A390" s="59"/>
      <c r="B390" s="59"/>
      <c r="C390" s="73"/>
      <c r="D390" s="59"/>
      <c r="E390" s="59"/>
      <c r="F390" s="66"/>
      <c r="G390" s="66"/>
      <c r="H390" s="66"/>
    </row>
    <row r="391" ht="15.75" customHeight="1">
      <c r="A391" s="59"/>
      <c r="B391" s="59"/>
      <c r="C391" s="73"/>
      <c r="D391" s="59"/>
      <c r="E391" s="59"/>
      <c r="F391" s="66"/>
      <c r="G391" s="66"/>
      <c r="H391" s="66"/>
    </row>
    <row r="392" ht="15.75" customHeight="1">
      <c r="A392" s="59"/>
      <c r="B392" s="59"/>
      <c r="C392" s="73"/>
      <c r="D392" s="59"/>
      <c r="E392" s="59"/>
      <c r="F392" s="66"/>
      <c r="G392" s="66"/>
      <c r="H392" s="66"/>
    </row>
    <row r="393" ht="15.75" customHeight="1">
      <c r="A393" s="59"/>
      <c r="B393" s="59"/>
      <c r="C393" s="73"/>
      <c r="D393" s="59"/>
      <c r="E393" s="59"/>
      <c r="F393" s="66"/>
      <c r="G393" s="66"/>
      <c r="H393" s="66"/>
    </row>
    <row r="394" ht="15.75" customHeight="1">
      <c r="A394" s="59"/>
      <c r="B394" s="59"/>
      <c r="C394" s="73"/>
      <c r="D394" s="59"/>
      <c r="E394" s="59"/>
      <c r="F394" s="66"/>
      <c r="G394" s="66"/>
      <c r="H394" s="66"/>
    </row>
    <row r="395" ht="15.75" customHeight="1">
      <c r="A395" s="59"/>
      <c r="B395" s="59"/>
      <c r="C395" s="73"/>
      <c r="D395" s="59"/>
      <c r="E395" s="59"/>
      <c r="F395" s="66"/>
      <c r="G395" s="66"/>
      <c r="H395" s="66"/>
    </row>
    <row r="396" ht="15.75" customHeight="1">
      <c r="A396" s="59"/>
      <c r="B396" s="59"/>
      <c r="C396" s="59"/>
      <c r="D396" s="59"/>
      <c r="E396" s="59"/>
      <c r="F396" s="66"/>
      <c r="G396" s="66"/>
      <c r="H396" s="66"/>
    </row>
    <row r="397" ht="15.75" customHeight="1">
      <c r="A397" s="59"/>
      <c r="B397" s="59"/>
      <c r="C397" s="59"/>
      <c r="D397" s="59"/>
      <c r="E397" s="59"/>
      <c r="F397" s="66"/>
      <c r="G397" s="66"/>
      <c r="H397" s="66"/>
    </row>
    <row r="398" ht="15.75" customHeight="1">
      <c r="A398" s="59"/>
      <c r="B398" s="59"/>
      <c r="C398" s="59"/>
      <c r="D398" s="59"/>
      <c r="E398" s="59"/>
      <c r="F398" s="66"/>
      <c r="G398" s="66"/>
      <c r="H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</row>
    <row r="402" ht="15.75" customHeight="1">
      <c r="A402" s="59"/>
      <c r="B402" s="59"/>
      <c r="C402" s="73"/>
      <c r="D402" s="59"/>
      <c r="E402" s="59"/>
      <c r="F402" s="66"/>
      <c r="G402" s="66"/>
      <c r="H402" s="66"/>
    </row>
    <row r="403" ht="15.75" customHeight="1">
      <c r="A403" s="59"/>
      <c r="B403" s="59"/>
      <c r="C403" s="73"/>
      <c r="D403" s="59"/>
      <c r="E403" s="59"/>
      <c r="F403" s="66"/>
      <c r="G403" s="66"/>
      <c r="H403" s="66"/>
    </row>
    <row r="404" ht="15.75" customHeight="1">
      <c r="A404" s="59"/>
      <c r="B404" s="59"/>
      <c r="C404" s="73"/>
      <c r="D404" s="59"/>
      <c r="E404" s="59"/>
      <c r="F404" s="66"/>
      <c r="G404" s="66"/>
      <c r="H404" s="66"/>
    </row>
    <row r="405" ht="15.75" customHeight="1">
      <c r="A405" s="59"/>
      <c r="B405" s="59"/>
      <c r="C405" s="73"/>
      <c r="D405" s="59"/>
      <c r="E405" s="59"/>
      <c r="F405" s="66"/>
      <c r="G405" s="66"/>
      <c r="H405" s="66"/>
    </row>
    <row r="406" ht="15.75" customHeight="1">
      <c r="A406" s="59"/>
      <c r="B406" s="59"/>
      <c r="C406" s="73"/>
      <c r="D406" s="59"/>
      <c r="E406" s="59"/>
      <c r="F406" s="66"/>
      <c r="G406" s="66"/>
      <c r="H406" s="66"/>
    </row>
    <row r="407" ht="15.75" customHeight="1">
      <c r="A407" s="59"/>
      <c r="B407" s="59"/>
      <c r="C407" s="73"/>
      <c r="D407" s="59"/>
      <c r="E407" s="59"/>
      <c r="F407" s="66"/>
      <c r="G407" s="66"/>
      <c r="H407" s="66"/>
    </row>
    <row r="408" ht="15.75" customHeight="1">
      <c r="A408" s="59"/>
      <c r="B408" s="59"/>
      <c r="C408" s="59"/>
      <c r="D408" s="59"/>
      <c r="E408" s="59"/>
      <c r="F408" s="66"/>
      <c r="G408" s="66"/>
      <c r="H408" s="66"/>
    </row>
    <row r="409" ht="15.75" customHeight="1">
      <c r="A409" s="59"/>
      <c r="B409" s="59"/>
      <c r="C409" s="59"/>
      <c r="D409" s="59"/>
      <c r="E409" s="59"/>
      <c r="F409" s="66"/>
      <c r="G409" s="66"/>
      <c r="H409" s="66"/>
    </row>
    <row r="410" ht="15.75" customHeight="1">
      <c r="A410" s="59"/>
      <c r="B410" s="59"/>
      <c r="C410" s="59"/>
      <c r="D410" s="59"/>
      <c r="E410" s="59"/>
      <c r="F410" s="66"/>
      <c r="G410" s="66"/>
      <c r="H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</row>
    <row r="414" ht="15.75" customHeight="1">
      <c r="A414" s="59"/>
      <c r="B414" s="59"/>
      <c r="C414" s="59"/>
      <c r="D414" s="59"/>
      <c r="E414" s="59"/>
      <c r="F414" s="66"/>
      <c r="G414" s="59"/>
      <c r="H414" s="66"/>
    </row>
    <row r="415" ht="15.75" customHeight="1">
      <c r="A415" s="59"/>
      <c r="B415" s="59"/>
      <c r="C415" s="59"/>
      <c r="D415" s="59"/>
      <c r="E415" s="59"/>
      <c r="F415" s="66"/>
      <c r="G415" s="59"/>
      <c r="H415" s="66"/>
    </row>
    <row r="416" ht="15.75" customHeight="1">
      <c r="A416" s="59"/>
      <c r="B416" s="59"/>
      <c r="C416" s="59"/>
      <c r="D416" s="59"/>
      <c r="E416" s="59"/>
      <c r="F416" s="66"/>
      <c r="G416" s="59"/>
      <c r="H416" s="66"/>
    </row>
    <row r="417" ht="15.75" customHeight="1">
      <c r="A417" s="100"/>
      <c r="B417" s="100"/>
      <c r="C417" s="59"/>
      <c r="D417" s="59"/>
      <c r="E417" s="100"/>
      <c r="F417" s="93"/>
      <c r="G417" s="100"/>
      <c r="H417" s="93"/>
    </row>
    <row r="418" ht="15.75" customHeight="1">
      <c r="A418" s="59"/>
      <c r="B418" s="59"/>
      <c r="C418" s="59"/>
      <c r="D418" s="59"/>
      <c r="E418" s="59"/>
      <c r="F418" s="66"/>
      <c r="G418" s="59"/>
      <c r="H418" s="66"/>
    </row>
    <row r="419" ht="15.75" customHeight="1">
      <c r="A419" s="59"/>
      <c r="B419" s="59"/>
      <c r="C419" s="59"/>
      <c r="D419" s="59"/>
      <c r="E419" s="59"/>
      <c r="F419" s="66"/>
      <c r="G419" s="59"/>
      <c r="H419" s="66"/>
    </row>
    <row r="420" ht="15.75" customHeight="1">
      <c r="A420" s="59"/>
      <c r="B420" s="59"/>
      <c r="C420" s="59"/>
      <c r="D420" s="59"/>
      <c r="E420" s="59"/>
      <c r="F420" s="66"/>
      <c r="G420" s="59"/>
      <c r="H420" s="66"/>
    </row>
    <row r="421" ht="15.75" customHeight="1">
      <c r="A421" s="59"/>
      <c r="B421" s="59"/>
      <c r="C421" s="59"/>
      <c r="D421" s="59"/>
      <c r="E421" s="59"/>
      <c r="F421" s="66"/>
      <c r="G421" s="59"/>
      <c r="H421" s="66"/>
    </row>
    <row r="422" ht="15.75" customHeight="1">
      <c r="A422" s="59"/>
      <c r="B422" s="59"/>
      <c r="C422" s="59"/>
      <c r="D422" s="59"/>
      <c r="E422" s="59"/>
      <c r="F422" s="66"/>
      <c r="G422" s="59"/>
      <c r="H422" s="66"/>
    </row>
    <row r="423" ht="15.75" customHeight="1">
      <c r="A423" s="100"/>
      <c r="B423" s="100"/>
      <c r="C423" s="100"/>
      <c r="D423" s="100"/>
      <c r="E423" s="100"/>
      <c r="F423" s="93"/>
      <c r="G423" s="100"/>
      <c r="H423" s="93"/>
    </row>
    <row r="424" ht="15.75" customHeight="1">
      <c r="A424" s="59"/>
      <c r="B424" s="100"/>
      <c r="C424" s="59"/>
      <c r="D424" s="100"/>
      <c r="E424" s="100"/>
      <c r="F424" s="93"/>
      <c r="G424" s="100"/>
      <c r="H424" s="93"/>
    </row>
    <row r="425" ht="15.75" customHeight="1">
      <c r="A425" s="100"/>
      <c r="B425" s="100"/>
      <c r="C425" s="59"/>
      <c r="D425" s="100"/>
      <c r="E425" s="100"/>
      <c r="F425" s="93"/>
      <c r="G425" s="100"/>
      <c r="H425" s="93"/>
    </row>
    <row r="426" ht="15.75" customHeight="1">
      <c r="A426" s="100"/>
      <c r="B426" s="100"/>
      <c r="C426" s="59"/>
      <c r="D426" s="100"/>
      <c r="E426" s="100"/>
      <c r="F426" s="93"/>
      <c r="G426" s="100"/>
      <c r="H426" s="93"/>
    </row>
    <row r="427" ht="15.75" customHeight="1">
      <c r="A427" s="100"/>
      <c r="B427" s="100"/>
      <c r="C427" s="59"/>
      <c r="D427" s="100"/>
      <c r="E427" s="100"/>
      <c r="F427" s="93"/>
      <c r="G427" s="100"/>
      <c r="H427" s="93"/>
    </row>
    <row r="428" ht="15.75" customHeight="1">
      <c r="A428" s="100"/>
      <c r="B428" s="100"/>
      <c r="C428" s="59"/>
      <c r="D428" s="100"/>
      <c r="E428" s="100"/>
      <c r="F428" s="93"/>
      <c r="G428" s="100"/>
      <c r="H428" s="93"/>
    </row>
    <row r="429" ht="15.75" customHeight="1">
      <c r="A429" s="100"/>
      <c r="B429" s="100"/>
      <c r="C429" s="59"/>
      <c r="D429" s="100"/>
      <c r="E429" s="100"/>
      <c r="F429" s="93"/>
      <c r="G429" s="100"/>
      <c r="H429" s="93"/>
    </row>
    <row r="430" ht="15.75" customHeight="1">
      <c r="A430" s="93"/>
      <c r="B430" s="66"/>
      <c r="C430" s="66"/>
      <c r="D430" s="66"/>
      <c r="E430" s="66"/>
      <c r="F430" s="66"/>
      <c r="G430" s="66"/>
      <c r="H430" s="93"/>
    </row>
    <row r="431" ht="15.75" customHeight="1">
      <c r="A431" s="93"/>
      <c r="B431" s="66"/>
      <c r="C431" s="66"/>
      <c r="D431" s="113"/>
      <c r="E431" s="66"/>
      <c r="F431" s="66"/>
      <c r="G431" s="66"/>
      <c r="H431" s="93"/>
    </row>
    <row r="432" ht="15.75" customHeight="1">
      <c r="A432" s="100"/>
      <c r="B432" s="59"/>
      <c r="C432" s="59"/>
      <c r="D432" s="59"/>
      <c r="E432" s="59"/>
      <c r="F432" s="66"/>
      <c r="G432" s="59"/>
      <c r="H432" s="93"/>
    </row>
    <row r="433" ht="15.75" customHeight="1">
      <c r="A433" s="100"/>
      <c r="B433" s="59"/>
      <c r="C433" s="59"/>
      <c r="D433" s="59"/>
      <c r="E433" s="59"/>
      <c r="F433" s="66"/>
      <c r="G433" s="59"/>
      <c r="H433" s="93"/>
    </row>
    <row r="434" ht="15.75" customHeight="1">
      <c r="A434" s="100"/>
      <c r="B434" s="59"/>
      <c r="C434" s="59"/>
      <c r="D434" s="59"/>
      <c r="E434" s="59"/>
      <c r="F434" s="66"/>
      <c r="G434" s="59"/>
      <c r="H434" s="66"/>
    </row>
    <row r="435" ht="15.75" customHeight="1">
      <c r="A435" s="100"/>
      <c r="B435" s="59"/>
      <c r="C435" s="59"/>
      <c r="D435" s="59"/>
      <c r="E435" s="59"/>
      <c r="F435" s="66"/>
      <c r="G435" s="59"/>
      <c r="H435" s="93"/>
    </row>
    <row r="436" ht="15.75" customHeight="1">
      <c r="A436" s="100"/>
      <c r="B436" s="59"/>
      <c r="C436" s="59"/>
      <c r="D436" s="59"/>
      <c r="E436" s="59"/>
      <c r="F436" s="66"/>
      <c r="G436" s="66"/>
      <c r="H436" s="93"/>
    </row>
    <row r="437" ht="15.75" customHeight="1">
      <c r="A437" s="100"/>
      <c r="B437" s="59"/>
      <c r="C437" s="59"/>
      <c r="D437" s="59"/>
      <c r="E437" s="59"/>
      <c r="F437" s="66"/>
      <c r="G437" s="59"/>
      <c r="H437" s="93"/>
    </row>
    <row r="438" ht="15.75" customHeight="1">
      <c r="A438" s="100"/>
      <c r="B438" s="59"/>
      <c r="C438" s="59"/>
      <c r="D438" s="59"/>
      <c r="E438" s="59"/>
      <c r="F438" s="66"/>
      <c r="G438" s="59"/>
      <c r="H438" s="93"/>
    </row>
    <row r="439" ht="15.75" customHeight="1">
      <c r="A439" s="100"/>
      <c r="B439" s="59"/>
      <c r="C439" s="59"/>
      <c r="D439" s="59"/>
      <c r="E439" s="59"/>
      <c r="F439" s="66"/>
      <c r="G439" s="59"/>
      <c r="H439" s="66"/>
    </row>
    <row r="440" ht="15.75" customHeight="1">
      <c r="A440" s="100"/>
      <c r="B440" s="59"/>
      <c r="C440" s="59"/>
      <c r="D440" s="59"/>
      <c r="E440" s="59"/>
      <c r="F440" s="66"/>
      <c r="G440" s="59"/>
      <c r="H440" s="66"/>
    </row>
    <row r="441" ht="15.75" customHeight="1">
      <c r="A441" s="100"/>
      <c r="B441" s="100"/>
      <c r="C441" s="100"/>
      <c r="D441" s="100"/>
      <c r="E441" s="100"/>
      <c r="F441" s="93"/>
      <c r="G441" s="100"/>
      <c r="H441" s="93"/>
    </row>
    <row r="442" ht="15.75" customHeight="1">
      <c r="A442" s="100"/>
      <c r="B442" s="59"/>
      <c r="C442" s="59"/>
      <c r="D442" s="59"/>
      <c r="E442" s="59"/>
      <c r="F442" s="66"/>
      <c r="G442" s="59"/>
      <c r="H442" s="66"/>
    </row>
    <row r="443" ht="15.75" customHeight="1">
      <c r="A443" s="100"/>
      <c r="B443" s="59"/>
      <c r="C443" s="59"/>
      <c r="D443" s="59"/>
      <c r="E443" s="59"/>
      <c r="F443" s="66"/>
      <c r="G443" s="59"/>
      <c r="H443" s="66"/>
    </row>
    <row r="444" ht="15.75" customHeight="1">
      <c r="A444" s="100"/>
      <c r="B444" s="59"/>
      <c r="C444" s="59"/>
      <c r="D444" s="59"/>
      <c r="E444" s="59"/>
      <c r="F444" s="66"/>
      <c r="G444" s="59"/>
      <c r="H444" s="66"/>
    </row>
    <row r="445" ht="15.75" customHeight="1">
      <c r="A445" s="100"/>
      <c r="B445" s="59"/>
      <c r="C445" s="59"/>
      <c r="D445" s="59"/>
      <c r="E445" s="59"/>
      <c r="F445" s="66"/>
      <c r="G445" s="59"/>
      <c r="H445" s="66"/>
    </row>
    <row r="446" ht="15.75" customHeight="1">
      <c r="A446" s="100"/>
      <c r="B446" s="59"/>
      <c r="C446" s="59"/>
      <c r="D446" s="59"/>
      <c r="E446" s="59"/>
      <c r="F446" s="66"/>
      <c r="G446" s="59"/>
      <c r="H446" s="66"/>
    </row>
    <row r="447" ht="15.75" customHeight="1">
      <c r="A447" s="100"/>
      <c r="B447" s="59"/>
      <c r="C447" s="59"/>
      <c r="D447" s="59"/>
      <c r="E447" s="59"/>
      <c r="F447" s="66"/>
      <c r="G447" s="59"/>
      <c r="H447" s="124"/>
    </row>
    <row r="448" ht="15.75" customHeight="1">
      <c r="A448" s="93"/>
      <c r="B448" s="66"/>
      <c r="C448" s="66"/>
      <c r="D448" s="113"/>
      <c r="E448" s="66"/>
      <c r="F448" s="66"/>
      <c r="G448" s="66"/>
      <c r="H448" s="93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</row>
    <row r="450" ht="15.75" customHeight="1">
      <c r="A450" s="136"/>
      <c r="B450" s="100"/>
      <c r="C450" s="59"/>
      <c r="D450" s="59"/>
      <c r="E450" s="59"/>
      <c r="F450" s="66"/>
      <c r="G450" s="59"/>
      <c r="H450" s="135"/>
    </row>
    <row r="451" ht="15.75" customHeight="1">
      <c r="A451" s="136"/>
      <c r="B451" s="100"/>
      <c r="C451" s="59"/>
      <c r="D451" s="59"/>
      <c r="E451" s="59"/>
      <c r="F451" s="66"/>
      <c r="G451" s="59"/>
      <c r="H451" s="135"/>
    </row>
    <row r="452" ht="15.75" customHeight="1">
      <c r="A452" s="136"/>
      <c r="B452" s="100"/>
      <c r="C452" s="59"/>
      <c r="D452" s="59"/>
      <c r="E452" s="59"/>
      <c r="F452" s="66"/>
      <c r="G452" s="59"/>
      <c r="H452" s="135"/>
    </row>
    <row r="453" ht="15.75" customHeight="1">
      <c r="A453" s="136"/>
      <c r="B453" s="100"/>
      <c r="C453" s="59"/>
      <c r="D453" s="59"/>
      <c r="E453" s="59"/>
      <c r="F453" s="66"/>
      <c r="G453" s="59"/>
      <c r="H453" s="135"/>
    </row>
    <row r="454" ht="15.75" customHeight="1">
      <c r="A454" s="136"/>
      <c r="B454" s="59"/>
      <c r="C454" s="59"/>
      <c r="D454" s="59"/>
      <c r="E454" s="59"/>
      <c r="F454" s="66"/>
      <c r="G454" s="59"/>
      <c r="H454" s="135"/>
    </row>
    <row r="455" ht="15.75" customHeight="1">
      <c r="A455" s="136"/>
      <c r="B455" s="59"/>
      <c r="C455" s="59"/>
      <c r="D455" s="59"/>
      <c r="E455" s="59"/>
      <c r="F455" s="66"/>
      <c r="G455" s="59"/>
      <c r="H455" s="135"/>
    </row>
    <row r="456" ht="15.75" customHeight="1">
      <c r="A456" s="136"/>
      <c r="B456" s="59"/>
      <c r="C456" s="59"/>
      <c r="D456" s="59"/>
      <c r="E456" s="59"/>
      <c r="F456" s="66"/>
      <c r="G456" s="59"/>
      <c r="H456" s="135"/>
    </row>
    <row r="457" ht="15.75" customHeight="1">
      <c r="A457" s="136"/>
      <c r="B457" s="59"/>
      <c r="C457" s="59"/>
      <c r="D457" s="59"/>
      <c r="E457" s="59"/>
      <c r="F457" s="66"/>
      <c r="G457" s="59"/>
      <c r="H457" s="135"/>
    </row>
    <row r="458" ht="15.75" customHeight="1">
      <c r="A458" s="136"/>
      <c r="B458" s="59"/>
      <c r="C458" s="59"/>
      <c r="D458" s="59"/>
      <c r="E458" s="59"/>
      <c r="F458" s="66"/>
      <c r="G458" s="59"/>
      <c r="H458" s="132"/>
    </row>
    <row r="459" ht="15.75" customHeight="1">
      <c r="A459" s="136"/>
      <c r="B459" s="59"/>
      <c r="C459" s="59"/>
      <c r="D459" s="59"/>
      <c r="E459" s="59"/>
      <c r="F459" s="66"/>
      <c r="G459" s="59"/>
      <c r="H459" s="132"/>
    </row>
    <row r="460" ht="15.75" customHeight="1">
      <c r="A460" s="136"/>
      <c r="B460" s="59"/>
      <c r="C460" s="59"/>
      <c r="D460" s="59"/>
      <c r="E460" s="59"/>
      <c r="F460" s="66"/>
      <c r="G460" s="59"/>
      <c r="H460" s="135"/>
    </row>
    <row r="461" ht="15.75" customHeight="1">
      <c r="A461" s="136"/>
      <c r="B461" s="59"/>
      <c r="C461" s="59"/>
      <c r="D461" s="59"/>
      <c r="E461" s="59"/>
      <c r="F461" s="66"/>
      <c r="G461" s="59"/>
      <c r="H461" s="135"/>
    </row>
    <row r="462" ht="15.75" customHeight="1">
      <c r="A462" s="136"/>
      <c r="B462" s="59"/>
      <c r="C462" s="59"/>
      <c r="D462" s="59"/>
      <c r="E462" s="59"/>
      <c r="F462" s="66"/>
      <c r="G462" s="59"/>
      <c r="H462" s="132"/>
    </row>
    <row r="463" ht="15.75" customHeight="1">
      <c r="A463" s="136"/>
      <c r="B463" s="59"/>
      <c r="C463" s="59"/>
      <c r="D463" s="59"/>
      <c r="E463" s="59"/>
      <c r="F463" s="66"/>
      <c r="G463" s="59"/>
      <c r="H463" s="132"/>
    </row>
    <row r="464" ht="15.75" customHeight="1">
      <c r="A464" s="100"/>
      <c r="B464" s="59"/>
      <c r="C464" s="59"/>
      <c r="D464" s="59"/>
      <c r="E464" s="59"/>
      <c r="F464" s="66"/>
      <c r="G464" s="59"/>
      <c r="H464" s="84"/>
    </row>
    <row r="465" ht="15.75" customHeight="1">
      <c r="A465" s="59"/>
      <c r="B465" s="59"/>
      <c r="C465" s="59"/>
      <c r="D465" s="59"/>
      <c r="E465" s="59"/>
      <c r="F465" s="66"/>
      <c r="G465" s="59"/>
      <c r="H465" s="93"/>
    </row>
    <row r="466" ht="15.75" customHeight="1">
      <c r="A466" s="21"/>
      <c r="B466" s="59"/>
      <c r="C466" s="59"/>
      <c r="D466" s="59"/>
      <c r="E466" s="59"/>
      <c r="F466" s="66"/>
      <c r="G466" s="66"/>
      <c r="H466" s="137"/>
    </row>
    <row r="467" ht="15.75" customHeight="1">
      <c r="A467" s="21"/>
      <c r="B467" s="59"/>
      <c r="C467" s="59"/>
      <c r="D467" s="59"/>
      <c r="E467" s="59"/>
      <c r="F467" s="66"/>
      <c r="G467" s="66"/>
      <c r="H467" s="137"/>
    </row>
    <row r="468" ht="15.75" customHeight="1">
      <c r="A468" s="21"/>
      <c r="B468" s="59"/>
      <c r="C468" s="59"/>
      <c r="D468" s="59"/>
      <c r="E468" s="59"/>
      <c r="F468" s="66"/>
      <c r="G468" s="66"/>
      <c r="H468" s="137"/>
    </row>
    <row r="469" ht="15.75" customHeight="1">
      <c r="A469" s="21"/>
      <c r="B469" s="59"/>
      <c r="C469" s="59"/>
      <c r="D469" s="59"/>
      <c r="E469" s="59"/>
      <c r="F469" s="66"/>
      <c r="G469" s="66"/>
      <c r="H469" s="137"/>
    </row>
    <row r="470" ht="15.75" customHeight="1">
      <c r="A470" s="21"/>
      <c r="B470" s="59"/>
      <c r="C470" s="59"/>
      <c r="D470" s="59"/>
      <c r="E470" s="59"/>
      <c r="F470" s="66"/>
      <c r="G470" s="66"/>
      <c r="H470" s="137"/>
    </row>
    <row r="471" ht="15.75" customHeight="1">
      <c r="A471" s="21"/>
      <c r="B471" s="59"/>
      <c r="C471" s="59"/>
      <c r="D471" s="59"/>
      <c r="E471" s="59"/>
      <c r="F471" s="66"/>
      <c r="G471" s="66"/>
      <c r="H471" s="137"/>
    </row>
    <row r="472" ht="15.75" customHeight="1">
      <c r="A472" s="59"/>
      <c r="B472" s="59"/>
      <c r="C472" s="59"/>
      <c r="D472" s="59"/>
      <c r="E472" s="59"/>
      <c r="F472" s="66"/>
      <c r="G472" s="66"/>
      <c r="H472" s="66"/>
    </row>
    <row r="473" ht="15.75" customHeight="1">
      <c r="A473" s="21"/>
      <c r="B473" s="59"/>
      <c r="C473" s="59"/>
      <c r="D473" s="59"/>
      <c r="E473" s="59"/>
      <c r="F473" s="66"/>
      <c r="G473" s="66"/>
      <c r="H473" s="66"/>
    </row>
    <row r="474" ht="15.75" customHeight="1">
      <c r="A474" s="21"/>
      <c r="B474" s="59"/>
      <c r="C474" s="59"/>
      <c r="D474" s="59"/>
      <c r="E474" s="59"/>
      <c r="F474" s="66"/>
      <c r="G474" s="66"/>
      <c r="H474" s="66"/>
    </row>
    <row r="475" ht="15.75" customHeight="1">
      <c r="A475" s="21"/>
      <c r="B475" s="59"/>
      <c r="C475" s="59"/>
      <c r="D475" s="59"/>
      <c r="E475" s="59"/>
      <c r="F475" s="66"/>
      <c r="G475" s="66"/>
      <c r="H475" s="66"/>
    </row>
    <row r="476" ht="15.75" customHeight="1">
      <c r="A476" s="21"/>
      <c r="B476" s="59"/>
      <c r="C476" s="59"/>
      <c r="D476" s="59"/>
      <c r="E476" s="59"/>
      <c r="F476" s="66"/>
      <c r="G476" s="66"/>
      <c r="H476" s="66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</row>
    <row r="478" ht="15.75" customHeight="1">
      <c r="A478" s="51"/>
      <c r="B478" s="59"/>
      <c r="C478" s="59"/>
      <c r="D478" s="59"/>
      <c r="E478" s="59"/>
      <c r="F478" s="66"/>
      <c r="G478" s="66"/>
      <c r="H478" s="51"/>
    </row>
    <row r="479" ht="15.75" customHeight="1">
      <c r="A479" s="21"/>
      <c r="B479" s="59"/>
      <c r="C479" s="59"/>
      <c r="D479" s="59"/>
      <c r="E479" s="59"/>
      <c r="F479" s="66"/>
      <c r="G479" s="66"/>
      <c r="H479" s="66"/>
    </row>
    <row r="480" ht="15.75" customHeight="1">
      <c r="A480" s="21"/>
      <c r="B480" s="66"/>
      <c r="C480" s="59"/>
      <c r="D480" s="59"/>
      <c r="E480" s="59"/>
      <c r="F480" s="66"/>
      <c r="G480" s="66"/>
      <c r="H480" s="66"/>
    </row>
    <row r="481" ht="15.75" customHeight="1">
      <c r="A481" s="21"/>
      <c r="B481" s="66"/>
      <c r="C481" s="59"/>
      <c r="D481" s="59"/>
      <c r="E481" s="59"/>
      <c r="F481" s="66"/>
      <c r="G481" s="66"/>
      <c r="H481" s="66"/>
    </row>
    <row r="482" ht="15.75" customHeight="1">
      <c r="A482" s="21"/>
      <c r="B482" s="66"/>
      <c r="C482" s="59"/>
      <c r="D482" s="59"/>
      <c r="E482" s="59"/>
      <c r="F482" s="66"/>
      <c r="G482" s="66"/>
      <c r="H482" s="66"/>
    </row>
    <row r="483" ht="15.75" customHeight="1">
      <c r="A483" s="21"/>
      <c r="B483" s="66"/>
      <c r="C483" s="59"/>
      <c r="D483" s="59"/>
      <c r="E483" s="59"/>
      <c r="F483" s="66"/>
      <c r="G483" s="66"/>
      <c r="H483" s="66"/>
    </row>
    <row r="484" ht="15.75" customHeight="1">
      <c r="A484" s="21"/>
      <c r="B484" s="66"/>
      <c r="C484" s="59"/>
      <c r="D484" s="59"/>
      <c r="E484" s="59"/>
      <c r="F484" s="66"/>
      <c r="G484" s="66"/>
      <c r="H484" s="66"/>
    </row>
    <row r="485" ht="15.75" customHeight="1">
      <c r="A485" s="21"/>
      <c r="B485" s="66"/>
      <c r="C485" s="59"/>
      <c r="D485" s="59"/>
      <c r="E485" s="59"/>
      <c r="F485" s="66"/>
      <c r="G485" s="66"/>
      <c r="H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</row>
    <row r="487" ht="15.75" customHeight="1">
      <c r="A487" s="59"/>
      <c r="B487" s="66"/>
      <c r="C487" s="59"/>
      <c r="D487" s="59"/>
      <c r="E487" s="59"/>
      <c r="F487" s="66"/>
      <c r="G487" s="66"/>
      <c r="H487" s="66"/>
    </row>
    <row r="488" ht="15.75" customHeight="1">
      <c r="A488" s="59"/>
      <c r="B488" s="66"/>
      <c r="C488" s="59"/>
      <c r="D488" s="59"/>
      <c r="E488" s="59"/>
      <c r="F488" s="66"/>
      <c r="G488" s="66"/>
      <c r="H488" s="66"/>
    </row>
    <row r="489" ht="15.75" customHeight="1">
      <c r="A489" s="59"/>
      <c r="B489" s="66"/>
      <c r="C489" s="59"/>
      <c r="D489" s="59"/>
      <c r="E489" s="59"/>
      <c r="F489" s="66"/>
      <c r="G489" s="66"/>
      <c r="H489" s="66"/>
    </row>
    <row r="490" ht="15.75" customHeight="1">
      <c r="A490" s="59"/>
      <c r="B490" s="93"/>
      <c r="C490" s="59"/>
      <c r="D490" s="59"/>
      <c r="E490" s="59"/>
      <c r="F490" s="66"/>
      <c r="G490" s="66"/>
      <c r="H490" s="66"/>
    </row>
    <row r="491" ht="15.75" customHeight="1">
      <c r="A491" s="59"/>
      <c r="B491" s="93"/>
      <c r="C491" s="59"/>
      <c r="D491" s="59"/>
      <c r="E491" s="59"/>
      <c r="F491" s="66"/>
      <c r="G491" s="66"/>
      <c r="H491" s="66"/>
    </row>
    <row r="492" ht="15.75" customHeight="1">
      <c r="A492" s="59"/>
      <c r="B492" s="93"/>
      <c r="C492" s="59"/>
      <c r="D492" s="59"/>
      <c r="E492" s="59"/>
      <c r="F492" s="66"/>
      <c r="G492" s="66"/>
      <c r="H492" s="66"/>
    </row>
    <row r="493" ht="15.75" customHeight="1">
      <c r="A493" s="59"/>
      <c r="B493" s="93"/>
      <c r="C493" s="59"/>
      <c r="D493" s="59"/>
      <c r="E493" s="59"/>
      <c r="F493" s="66"/>
      <c r="G493" s="66"/>
      <c r="H493" s="66"/>
    </row>
    <row r="494" ht="15.75" customHeight="1">
      <c r="A494" s="59"/>
      <c r="B494" s="93"/>
      <c r="C494" s="59"/>
      <c r="D494" s="59"/>
      <c r="E494" s="59"/>
      <c r="F494" s="66"/>
      <c r="G494" s="66"/>
      <c r="H494" s="66"/>
    </row>
    <row r="495" ht="15.75" customHeight="1">
      <c r="A495" s="100"/>
      <c r="B495" s="93"/>
      <c r="C495" s="59"/>
      <c r="D495" s="59"/>
      <c r="E495" s="100"/>
      <c r="F495" s="93"/>
      <c r="G495" s="93"/>
      <c r="H495" s="93"/>
    </row>
    <row r="496" ht="15.75" customHeight="1">
      <c r="A496" s="51"/>
      <c r="B496" s="51"/>
      <c r="C496" s="59"/>
      <c r="D496" s="66"/>
      <c r="E496" s="51"/>
      <c r="F496" s="51"/>
      <c r="G496" s="51"/>
      <c r="H496" s="51"/>
    </row>
    <row r="497" ht="15.75" customHeight="1">
      <c r="A497" s="21"/>
      <c r="B497" s="59"/>
      <c r="C497" s="59"/>
      <c r="D497" s="59"/>
      <c r="E497" s="59"/>
      <c r="F497" s="66"/>
      <c r="G497" s="66"/>
      <c r="H497" s="66"/>
    </row>
    <row r="498" ht="15.75" customHeight="1">
      <c r="A498" s="21"/>
      <c r="B498" s="66"/>
      <c r="C498" s="59"/>
      <c r="D498" s="59"/>
      <c r="E498" s="59"/>
      <c r="F498" s="66"/>
      <c r="G498" s="59"/>
      <c r="H498" s="66"/>
    </row>
    <row r="499" ht="15.75" customHeight="1">
      <c r="A499" s="21"/>
      <c r="B499" s="66"/>
      <c r="C499" s="59"/>
      <c r="D499" s="59"/>
      <c r="E499" s="59"/>
      <c r="F499" s="66"/>
      <c r="G499" s="59"/>
      <c r="H499" s="66"/>
    </row>
    <row r="500" ht="15.75" customHeight="1">
      <c r="A500" s="21"/>
      <c r="B500" s="66"/>
      <c r="C500" s="59"/>
      <c r="D500" s="59"/>
      <c r="E500" s="59"/>
      <c r="F500" s="66"/>
      <c r="G500" s="59"/>
      <c r="H500" s="66"/>
    </row>
    <row r="501" ht="15.75" customHeight="1">
      <c r="A501" s="21"/>
      <c r="B501" s="66"/>
      <c r="C501" s="59"/>
      <c r="D501" s="59"/>
      <c r="E501" s="59"/>
      <c r="F501" s="66"/>
      <c r="G501" s="59"/>
      <c r="H501" s="66"/>
    </row>
    <row r="502" ht="15.75" customHeight="1">
      <c r="A502" s="21"/>
      <c r="B502" s="66"/>
      <c r="C502" s="59"/>
      <c r="D502" s="59"/>
      <c r="E502" s="59"/>
      <c r="F502" s="66"/>
      <c r="G502" s="59"/>
      <c r="H502" s="66"/>
    </row>
    <row r="503" ht="15.75" customHeight="1">
      <c r="A503" s="21"/>
      <c r="B503" s="66"/>
      <c r="C503" s="59"/>
      <c r="D503" s="59"/>
      <c r="E503" s="59"/>
      <c r="F503" s="66"/>
      <c r="G503" s="59"/>
      <c r="H503" s="66"/>
    </row>
    <row r="504" ht="15.75" customHeight="1">
      <c r="A504" s="21"/>
      <c r="B504" s="66"/>
      <c r="C504" s="59"/>
      <c r="D504" s="59"/>
      <c r="E504" s="59"/>
      <c r="F504" s="66"/>
      <c r="G504" s="59"/>
      <c r="H504" s="66"/>
    </row>
    <row r="505" ht="15.75" customHeight="1">
      <c r="A505" s="21"/>
      <c r="B505" s="66"/>
      <c r="C505" s="59"/>
      <c r="D505" s="59"/>
      <c r="E505" s="59"/>
      <c r="F505" s="66"/>
      <c r="G505" s="59"/>
      <c r="H505" s="66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</row>
    <row r="507" ht="15.75" customHeight="1">
      <c r="A507" s="21"/>
      <c r="B507" s="51"/>
      <c r="C507" s="43"/>
      <c r="D507" s="51"/>
      <c r="E507" s="51"/>
      <c r="F507" s="51"/>
      <c r="G507" s="51"/>
      <c r="H507" s="51"/>
    </row>
    <row r="508" ht="15.75" customHeight="1">
      <c r="A508" s="21"/>
      <c r="B508" s="66"/>
      <c r="C508" s="59"/>
      <c r="D508" s="59"/>
      <c r="E508" s="59"/>
      <c r="F508" s="66"/>
      <c r="G508" s="66"/>
      <c r="H508" s="66"/>
    </row>
    <row r="509" ht="15.75" customHeight="1">
      <c r="A509" s="21"/>
      <c r="B509" s="66"/>
      <c r="C509" s="59"/>
      <c r="D509" s="59"/>
      <c r="E509" s="59"/>
      <c r="F509" s="66"/>
      <c r="G509" s="66"/>
      <c r="H509" s="66"/>
    </row>
    <row r="510" ht="15.75" customHeight="1">
      <c r="A510" s="21"/>
      <c r="B510" s="66"/>
      <c r="C510" s="59"/>
      <c r="D510" s="59"/>
      <c r="E510" s="59"/>
      <c r="F510" s="66"/>
      <c r="G510" s="66"/>
      <c r="H510" s="66"/>
    </row>
    <row r="511" ht="15.75" customHeight="1">
      <c r="A511" s="21"/>
      <c r="B511" s="66"/>
      <c r="C511" s="59"/>
      <c r="D511" s="59"/>
      <c r="E511" s="59"/>
      <c r="F511" s="66"/>
      <c r="G511" s="66"/>
      <c r="H511" s="66"/>
    </row>
    <row r="512" ht="15.75" customHeight="1">
      <c r="A512" s="21"/>
      <c r="B512" s="66"/>
      <c r="C512" s="59"/>
      <c r="D512" s="59"/>
      <c r="E512" s="59"/>
      <c r="F512" s="66"/>
      <c r="G512" s="66"/>
      <c r="H512" s="66"/>
    </row>
    <row r="513" ht="15.75" customHeight="1">
      <c r="A513" s="21"/>
      <c r="B513" s="66"/>
      <c r="C513" s="59"/>
      <c r="D513" s="59"/>
      <c r="E513" s="59"/>
      <c r="F513" s="66"/>
      <c r="G513" s="66"/>
      <c r="H513" s="66"/>
    </row>
    <row r="514" ht="15.75" customHeight="1">
      <c r="A514" s="21"/>
      <c r="B514" s="66"/>
      <c r="C514" s="59"/>
      <c r="D514" s="59"/>
      <c r="E514" s="59"/>
      <c r="F514" s="66"/>
      <c r="G514" s="66"/>
      <c r="H514" s="66"/>
    </row>
    <row r="515" ht="15.75" customHeight="1">
      <c r="A515" s="21"/>
      <c r="B515" s="66"/>
      <c r="C515" s="59"/>
      <c r="D515" s="59"/>
      <c r="E515" s="59"/>
      <c r="F515" s="66"/>
      <c r="G515" s="66"/>
      <c r="H515" s="21"/>
    </row>
    <row r="516" ht="15.75" customHeight="1">
      <c r="A516" s="21"/>
      <c r="B516" s="66"/>
      <c r="C516" s="59"/>
      <c r="D516" s="59"/>
      <c r="E516" s="59"/>
      <c r="F516" s="66"/>
      <c r="G516" s="66"/>
      <c r="H516" s="66"/>
    </row>
    <row r="517" ht="15.75" customHeight="1">
      <c r="A517" s="21"/>
      <c r="B517" s="66"/>
      <c r="C517" s="59"/>
      <c r="D517" s="59"/>
      <c r="E517" s="59"/>
      <c r="F517" s="66"/>
      <c r="G517" s="66"/>
      <c r="H517" s="66"/>
    </row>
    <row r="518" ht="15.75" customHeight="1">
      <c r="A518" s="51"/>
      <c r="B518" s="66"/>
      <c r="C518" s="59"/>
      <c r="D518" s="59"/>
      <c r="E518" s="59"/>
      <c r="F518" s="66"/>
      <c r="G518" s="66"/>
      <c r="H518" s="66"/>
    </row>
    <row r="519" ht="15.75" customHeight="1">
      <c r="A519" s="21"/>
      <c r="B519" s="59"/>
      <c r="C519" s="59"/>
      <c r="D519" s="59"/>
      <c r="E519" s="59"/>
      <c r="F519" s="66"/>
      <c r="G519" s="66"/>
      <c r="H519" s="66"/>
    </row>
    <row r="520" ht="15.75" customHeight="1">
      <c r="A520" s="21"/>
      <c r="B520" s="66"/>
      <c r="C520" s="59"/>
      <c r="D520" s="59"/>
      <c r="E520" s="59"/>
      <c r="F520" s="66"/>
      <c r="G520" s="66"/>
      <c r="H520" s="21"/>
    </row>
    <row r="521" ht="15.75" customHeight="1">
      <c r="A521" s="21"/>
      <c r="B521" s="66"/>
      <c r="C521" s="59"/>
      <c r="D521" s="59"/>
      <c r="E521" s="59"/>
      <c r="F521" s="66"/>
      <c r="G521" s="66"/>
      <c r="H521" s="21"/>
    </row>
    <row r="522" ht="15.75" customHeight="1">
      <c r="A522" s="21"/>
      <c r="B522" s="66"/>
      <c r="C522" s="59"/>
      <c r="D522" s="59"/>
      <c r="E522" s="59"/>
      <c r="F522" s="66"/>
      <c r="G522" s="66"/>
      <c r="H522" s="21"/>
    </row>
    <row r="523" ht="15.75" customHeight="1">
      <c r="A523" s="21"/>
      <c r="B523" s="66"/>
      <c r="C523" s="59"/>
      <c r="D523" s="59"/>
      <c r="E523" s="59"/>
      <c r="F523" s="66"/>
      <c r="G523" s="66"/>
      <c r="H523" s="21"/>
    </row>
    <row r="524" ht="15.75" customHeight="1">
      <c r="A524" s="21"/>
      <c r="B524" s="66"/>
      <c r="C524" s="59"/>
      <c r="D524" s="59"/>
      <c r="E524" s="59"/>
      <c r="F524" s="66"/>
      <c r="G524" s="66"/>
      <c r="H524" s="21"/>
    </row>
    <row r="525" ht="15.75" customHeight="1">
      <c r="A525" s="21"/>
      <c r="B525" s="66"/>
      <c r="C525" s="59"/>
      <c r="D525" s="59"/>
      <c r="E525" s="59"/>
      <c r="F525" s="66"/>
      <c r="G525" s="66"/>
      <c r="H525" s="21"/>
    </row>
    <row r="526" ht="15.75" customHeight="1">
      <c r="A526" s="21"/>
      <c r="B526" s="66"/>
      <c r="C526" s="59"/>
      <c r="D526" s="59"/>
      <c r="E526" s="59"/>
      <c r="F526" s="66"/>
      <c r="G526" s="66"/>
      <c r="H526" s="21"/>
    </row>
    <row r="527" ht="15.75" customHeight="1">
      <c r="A527" s="21"/>
      <c r="B527" s="66"/>
      <c r="C527" s="59"/>
      <c r="D527" s="59"/>
      <c r="E527" s="59"/>
      <c r="F527" s="66"/>
      <c r="G527" s="66"/>
      <c r="H527" s="21"/>
    </row>
    <row r="528" ht="15.75" customHeight="1">
      <c r="A528" s="21"/>
      <c r="B528" s="66"/>
      <c r="C528" s="59"/>
      <c r="D528" s="59"/>
      <c r="E528" s="59"/>
      <c r="F528" s="66"/>
      <c r="G528" s="66"/>
      <c r="H528" s="21"/>
    </row>
    <row r="529" ht="15.75" customHeight="1">
      <c r="A529" s="21"/>
      <c r="B529" s="66"/>
      <c r="C529" s="59"/>
      <c r="D529" s="59"/>
      <c r="E529" s="59"/>
      <c r="F529" s="66"/>
      <c r="G529" s="66"/>
      <c r="H529" s="21"/>
    </row>
    <row r="530" ht="15.75" customHeight="1">
      <c r="A530" s="21"/>
      <c r="B530" s="66"/>
      <c r="C530" s="59"/>
      <c r="D530" s="59"/>
      <c r="E530" s="59"/>
      <c r="F530" s="66"/>
      <c r="G530" s="66"/>
      <c r="H530" s="21"/>
    </row>
    <row r="531" ht="15.75" customHeight="1">
      <c r="A531" s="21"/>
      <c r="B531" s="66"/>
      <c r="C531" s="59"/>
      <c r="D531" s="59"/>
      <c r="E531" s="59"/>
      <c r="F531" s="66"/>
      <c r="G531" s="66"/>
      <c r="H531" s="21"/>
    </row>
    <row r="532" ht="15.75" customHeight="1">
      <c r="A532" s="21"/>
      <c r="B532" s="66"/>
      <c r="C532" s="59"/>
      <c r="D532" s="59"/>
      <c r="E532" s="59"/>
      <c r="F532" s="66"/>
      <c r="G532" s="66"/>
      <c r="H532" s="21"/>
    </row>
    <row r="533" ht="15.75" customHeight="1">
      <c r="A533" s="21"/>
      <c r="B533" s="66"/>
      <c r="C533" s="59"/>
      <c r="D533" s="59"/>
      <c r="E533" s="59"/>
      <c r="F533" s="66"/>
      <c r="G533" s="66"/>
      <c r="H533" s="21"/>
    </row>
    <row r="534" ht="15.75" customHeight="1">
      <c r="A534" s="21"/>
      <c r="B534" s="66"/>
      <c r="C534" s="59"/>
      <c r="D534" s="59"/>
      <c r="E534" s="59"/>
      <c r="F534" s="66"/>
      <c r="G534" s="66"/>
      <c r="H534" s="21"/>
    </row>
    <row r="535" ht="15.75" customHeight="1">
      <c r="A535" s="21"/>
      <c r="B535" s="66"/>
      <c r="C535" s="59"/>
      <c r="D535" s="59"/>
      <c r="E535" s="59"/>
      <c r="F535" s="66"/>
      <c r="G535" s="66"/>
      <c r="H535" s="21"/>
    </row>
    <row r="536" ht="15.75" customHeight="1">
      <c r="A536" s="59"/>
      <c r="B536" s="66"/>
      <c r="C536" s="59"/>
      <c r="D536" s="59"/>
      <c r="E536" s="59"/>
      <c r="F536" s="66"/>
      <c r="G536" s="66"/>
      <c r="H536" s="66"/>
    </row>
    <row r="537" ht="15.75" customHeight="1">
      <c r="A537" s="59"/>
      <c r="B537" s="66"/>
      <c r="C537" s="59"/>
      <c r="D537" s="59"/>
      <c r="E537" s="59"/>
      <c r="F537" s="66"/>
      <c r="G537" s="66"/>
      <c r="H537" s="66"/>
    </row>
    <row r="538" ht="15.75" customHeight="1">
      <c r="A538" s="59"/>
      <c r="B538" s="66"/>
      <c r="C538" s="59"/>
      <c r="D538" s="59"/>
      <c r="E538" s="59"/>
      <c r="F538" s="66"/>
      <c r="G538" s="66"/>
      <c r="H538" s="66"/>
    </row>
    <row r="539" ht="15.75" customHeight="1">
      <c r="A539" s="59"/>
      <c r="B539" s="66"/>
      <c r="C539" s="59"/>
      <c r="D539" s="59"/>
      <c r="E539" s="59"/>
      <c r="F539" s="66"/>
      <c r="G539" s="66"/>
      <c r="H539" s="66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</row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286 N120:N130 O120:O124 O160:O161 F288:F295 F297:F305 F319:F387 F390:F403 F405:F414 F416:F464 F467:F469 F471:F494 F497:F505 F507:F531">
    <cfRule type="cellIs" dxfId="4" priority="1" operator="equal">
      <formula>"Good"</formula>
    </cfRule>
  </conditionalFormatting>
  <conditionalFormatting sqref="F2:F286 N120:N130 O120:O124 O160:O161 F288:F295 F297:F305 F319:F387 F390:F403 F405:F414 F416:F464 F467:F469 F471:F494 F497:F505 F507:F531">
    <cfRule type="cellIs" dxfId="5" priority="2" operator="equal">
      <formula>"Okay"</formula>
    </cfRule>
  </conditionalFormatting>
  <conditionalFormatting sqref="F2:F286 N120:N130 O120:O124 O160:O161 F288:F295 F297:F305 F319:F387 F390:F403 F405:F414 F416:F464 F467:F469 F471:F494 F497:F505 F507:F531">
    <cfRule type="cellIs" dxfId="6" priority="3" operator="equal">
      <formula>"Bad"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86"/>
    <col customWidth="1" min="3" max="6" width="14.43"/>
  </cols>
  <sheetData>
    <row r="1">
      <c r="B1" s="2" t="s">
        <v>1</v>
      </c>
      <c r="C1" s="2" t="s">
        <v>2</v>
      </c>
    </row>
    <row r="2">
      <c r="A2" s="5">
        <v>1.0</v>
      </c>
      <c r="B2" s="5" t="s">
        <v>5</v>
      </c>
      <c r="C2" s="5">
        <v>1.0</v>
      </c>
    </row>
    <row r="3">
      <c r="B3" s="5" t="s">
        <v>9</v>
      </c>
      <c r="C3" s="5">
        <v>2.0</v>
      </c>
    </row>
    <row r="4">
      <c r="B4" s="5" t="s">
        <v>13</v>
      </c>
      <c r="C4" s="5">
        <v>4.0</v>
      </c>
    </row>
    <row r="5">
      <c r="B5" s="5" t="s">
        <v>15</v>
      </c>
      <c r="C5" s="5">
        <v>1.0</v>
      </c>
    </row>
    <row r="6">
      <c r="B6" s="5" t="s">
        <v>18</v>
      </c>
      <c r="C6" s="5">
        <v>1.0</v>
      </c>
    </row>
    <row r="7">
      <c r="B7" s="5" t="s">
        <v>21</v>
      </c>
      <c r="C7" s="5">
        <v>1.0</v>
      </c>
    </row>
    <row r="8">
      <c r="B8" s="5" t="s">
        <v>25</v>
      </c>
      <c r="C8" s="5">
        <v>2.0</v>
      </c>
    </row>
    <row r="9">
      <c r="B9" s="5" t="s">
        <v>26</v>
      </c>
      <c r="C9" s="5">
        <v>1.0</v>
      </c>
    </row>
    <row r="10">
      <c r="B10" s="5" t="s">
        <v>28</v>
      </c>
      <c r="C10" s="5">
        <v>1.0</v>
      </c>
    </row>
    <row r="11">
      <c r="B11" s="5" t="s">
        <v>30</v>
      </c>
      <c r="C11" s="5">
        <v>2.0</v>
      </c>
    </row>
    <row r="12">
      <c r="B12" s="5" t="s">
        <v>32</v>
      </c>
      <c r="C12" s="5">
        <v>1.0</v>
      </c>
    </row>
    <row r="13">
      <c r="B13" s="5" t="s">
        <v>33</v>
      </c>
      <c r="C13" s="5">
        <v>1.0</v>
      </c>
    </row>
    <row r="14">
      <c r="B14" s="15" t="s">
        <v>34</v>
      </c>
      <c r="C14" s="5">
        <v>1.0</v>
      </c>
    </row>
    <row r="15">
      <c r="B15" s="5" t="s">
        <v>36</v>
      </c>
      <c r="C15" s="5">
        <v>1.0</v>
      </c>
    </row>
    <row r="16">
      <c r="B16" s="5" t="s">
        <v>37</v>
      </c>
      <c r="C16" s="5">
        <v>2.0</v>
      </c>
    </row>
    <row r="17">
      <c r="B17" s="5" t="s">
        <v>38</v>
      </c>
      <c r="C17" s="5">
        <v>1.0</v>
      </c>
    </row>
    <row r="18">
      <c r="B18" s="5" t="s">
        <v>40</v>
      </c>
      <c r="C18" s="5">
        <v>1.0</v>
      </c>
    </row>
    <row r="19">
      <c r="B19" s="5" t="s">
        <v>42</v>
      </c>
      <c r="C19" s="5">
        <v>1.0</v>
      </c>
    </row>
    <row r="20">
      <c r="B20" s="5" t="s">
        <v>43</v>
      </c>
      <c r="C20" s="5">
        <v>1.0</v>
      </c>
    </row>
    <row r="21" ht="15.75" customHeight="1">
      <c r="B21" s="5" t="s">
        <v>44</v>
      </c>
      <c r="C21" s="5">
        <v>1.0</v>
      </c>
    </row>
    <row r="22" ht="15.75" customHeight="1">
      <c r="B22" s="5" t="s">
        <v>45</v>
      </c>
      <c r="C22" s="5">
        <v>1.0</v>
      </c>
    </row>
    <row r="23" ht="15.75" customHeight="1">
      <c r="B23" s="5" t="s">
        <v>46</v>
      </c>
      <c r="C23" s="5">
        <v>1.0</v>
      </c>
    </row>
    <row r="24" ht="15.75" customHeight="1">
      <c r="B24" s="5" t="s">
        <v>47</v>
      </c>
      <c r="C24" s="5">
        <v>1.0</v>
      </c>
    </row>
    <row r="25" ht="15.75" customHeight="1">
      <c r="B25" s="5" t="s">
        <v>48</v>
      </c>
      <c r="C25" s="5">
        <v>1.0</v>
      </c>
    </row>
    <row r="26" ht="15.75" customHeight="1">
      <c r="B26" s="5" t="s">
        <v>49</v>
      </c>
      <c r="C26" s="5">
        <v>1.0</v>
      </c>
    </row>
    <row r="27" ht="15.75" customHeight="1">
      <c r="B27" s="5" t="s">
        <v>50</v>
      </c>
      <c r="C27" s="5">
        <v>1.0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C1" s="3"/>
      <c r="J1" s="5">
        <v>240.0</v>
      </c>
    </row>
    <row r="2">
      <c r="A2" s="5" t="s">
        <v>6</v>
      </c>
      <c r="B2" s="5" t="s">
        <v>7</v>
      </c>
      <c r="C2" s="5" t="s">
        <v>8</v>
      </c>
    </row>
    <row r="3">
      <c r="A3" s="5">
        <v>143.0</v>
      </c>
      <c r="B3" s="5">
        <v>100.0</v>
      </c>
      <c r="C3" s="5">
        <v>45.0</v>
      </c>
      <c r="D3" s="5">
        <f t="shared" ref="D3:D10" si="1">(A3/1000)*$I$2</f>
        <v>0</v>
      </c>
      <c r="E3" s="5">
        <f t="shared" ref="E3:E10" si="2">C3-D3</f>
        <v>45</v>
      </c>
      <c r="F3" s="5" t="str">
        <f t="shared" ref="F3:F10" si="3">IF(E3&lt;5,"Bad",IF(E3&lt;20,"Okay","Good"))</f>
        <v>Good</v>
      </c>
      <c r="G3" s="5">
        <f t="shared" ref="G3:G20" si="4">B3-5</f>
        <v>95</v>
      </c>
    </row>
    <row r="4">
      <c r="A4" s="5">
        <v>286.0</v>
      </c>
      <c r="B4" s="5">
        <v>200.0</v>
      </c>
      <c r="C4" s="5">
        <v>85.0</v>
      </c>
      <c r="D4" s="5">
        <f t="shared" si="1"/>
        <v>0</v>
      </c>
      <c r="E4" s="5">
        <f t="shared" si="2"/>
        <v>85</v>
      </c>
      <c r="F4" s="5" t="str">
        <f t="shared" si="3"/>
        <v>Good</v>
      </c>
      <c r="G4" s="5">
        <f t="shared" si="4"/>
        <v>195</v>
      </c>
    </row>
    <row r="5">
      <c r="A5" s="5">
        <v>429.0</v>
      </c>
      <c r="B5" s="5">
        <v>300.0</v>
      </c>
      <c r="C5" s="5">
        <v>130.0</v>
      </c>
      <c r="D5" s="5">
        <f t="shared" si="1"/>
        <v>0</v>
      </c>
      <c r="E5" s="5">
        <f t="shared" si="2"/>
        <v>130</v>
      </c>
      <c r="F5" s="5" t="str">
        <f t="shared" si="3"/>
        <v>Good</v>
      </c>
      <c r="G5" s="5">
        <f t="shared" si="4"/>
        <v>295</v>
      </c>
    </row>
    <row r="6">
      <c r="A6" s="5">
        <v>572.0</v>
      </c>
      <c r="B6" s="5">
        <v>400.0</v>
      </c>
      <c r="C6" s="5">
        <v>170.0</v>
      </c>
      <c r="D6" s="5">
        <f t="shared" si="1"/>
        <v>0</v>
      </c>
      <c r="E6" s="5">
        <f t="shared" si="2"/>
        <v>170</v>
      </c>
      <c r="F6" s="5" t="str">
        <f t="shared" si="3"/>
        <v>Good</v>
      </c>
      <c r="G6" s="5">
        <f t="shared" si="4"/>
        <v>395</v>
      </c>
    </row>
    <row r="7">
      <c r="A7" s="5">
        <v>715.0</v>
      </c>
      <c r="B7" s="5">
        <v>500.0</v>
      </c>
      <c r="C7" s="5">
        <v>215.0</v>
      </c>
      <c r="D7" s="5">
        <f t="shared" si="1"/>
        <v>0</v>
      </c>
      <c r="E7" s="5">
        <f t="shared" si="2"/>
        <v>215</v>
      </c>
      <c r="F7" s="5" t="str">
        <f t="shared" si="3"/>
        <v>Good</v>
      </c>
      <c r="G7" s="5">
        <f t="shared" si="4"/>
        <v>495</v>
      </c>
    </row>
    <row r="8">
      <c r="A8" s="5">
        <v>858.0</v>
      </c>
      <c r="C8" s="5">
        <v>255.0</v>
      </c>
      <c r="D8" s="5">
        <f t="shared" si="1"/>
        <v>0</v>
      </c>
      <c r="E8" s="5">
        <f t="shared" si="2"/>
        <v>255</v>
      </c>
      <c r="F8" s="5" t="str">
        <f t="shared" si="3"/>
        <v>Good</v>
      </c>
      <c r="G8" s="5">
        <f t="shared" si="4"/>
        <v>-5</v>
      </c>
    </row>
    <row r="9">
      <c r="A9" s="5">
        <v>1143.0</v>
      </c>
      <c r="B9" s="5">
        <v>900.0</v>
      </c>
      <c r="C9" s="5">
        <v>340.0</v>
      </c>
      <c r="D9" s="5">
        <f t="shared" si="1"/>
        <v>0</v>
      </c>
      <c r="E9" s="5">
        <f t="shared" si="2"/>
        <v>340</v>
      </c>
      <c r="F9" s="5" t="str">
        <f t="shared" si="3"/>
        <v>Good</v>
      </c>
      <c r="G9" s="5">
        <f t="shared" si="4"/>
        <v>895</v>
      </c>
    </row>
    <row r="10">
      <c r="A10" s="5">
        <v>1429.0</v>
      </c>
      <c r="B10" s="5">
        <v>1000.0</v>
      </c>
      <c r="C10" s="5">
        <v>430.0</v>
      </c>
      <c r="D10" s="5">
        <f t="shared" si="1"/>
        <v>0</v>
      </c>
      <c r="E10" s="5">
        <f t="shared" si="2"/>
        <v>430</v>
      </c>
      <c r="F10" s="5" t="str">
        <f t="shared" si="3"/>
        <v>Good</v>
      </c>
      <c r="G10" s="5">
        <f t="shared" si="4"/>
        <v>995</v>
      </c>
    </row>
    <row r="11">
      <c r="A11" s="5" t="s">
        <v>53</v>
      </c>
      <c r="G11" s="5">
        <f t="shared" si="4"/>
        <v>-5</v>
      </c>
    </row>
    <row r="12">
      <c r="A12" s="5">
        <v>100.0</v>
      </c>
      <c r="C12" s="5">
        <v>30.0</v>
      </c>
      <c r="D12" s="5">
        <f t="shared" ref="D12:D20" si="5">(A12/1000)*$I$2</f>
        <v>0</v>
      </c>
      <c r="E12" s="5">
        <f t="shared" ref="E12:E20" si="6">C12-D12</f>
        <v>30</v>
      </c>
      <c r="F12" s="5" t="str">
        <f t="shared" ref="F12:F20" si="7">IF(E12&lt;5,"Bad",IF(E12&lt;20,"Okay","Good"))</f>
        <v>Good</v>
      </c>
      <c r="G12" s="5">
        <f t="shared" si="4"/>
        <v>-5</v>
      </c>
    </row>
    <row r="13">
      <c r="A13" s="5">
        <v>200.0</v>
      </c>
      <c r="C13" s="5">
        <v>60.0</v>
      </c>
      <c r="D13" s="5">
        <f t="shared" si="5"/>
        <v>0</v>
      </c>
      <c r="E13" s="5">
        <f t="shared" si="6"/>
        <v>60</v>
      </c>
      <c r="F13" s="5" t="str">
        <f t="shared" si="7"/>
        <v>Good</v>
      </c>
      <c r="G13" s="5">
        <f t="shared" si="4"/>
        <v>-5</v>
      </c>
    </row>
    <row r="14">
      <c r="A14" s="5">
        <v>300.0</v>
      </c>
      <c r="C14" s="5">
        <v>90.0</v>
      </c>
      <c r="D14" s="5">
        <f t="shared" si="5"/>
        <v>0</v>
      </c>
      <c r="E14" s="5">
        <f t="shared" si="6"/>
        <v>90</v>
      </c>
      <c r="F14" s="5" t="str">
        <f t="shared" si="7"/>
        <v>Good</v>
      </c>
      <c r="G14" s="5">
        <f t="shared" si="4"/>
        <v>-5</v>
      </c>
    </row>
    <row r="15">
      <c r="A15" s="5">
        <v>400.0</v>
      </c>
      <c r="C15" s="5">
        <v>120.0</v>
      </c>
      <c r="D15" s="5">
        <f t="shared" si="5"/>
        <v>0</v>
      </c>
      <c r="E15" s="5">
        <f t="shared" si="6"/>
        <v>120</v>
      </c>
      <c r="F15" s="5" t="str">
        <f t="shared" si="7"/>
        <v>Good</v>
      </c>
      <c r="G15" s="5">
        <f t="shared" si="4"/>
        <v>-5</v>
      </c>
    </row>
    <row r="16">
      <c r="A16" s="5">
        <v>500.0</v>
      </c>
      <c r="C16" s="5">
        <v>150.0</v>
      </c>
      <c r="D16" s="5">
        <f t="shared" si="5"/>
        <v>0</v>
      </c>
      <c r="E16" s="5">
        <f t="shared" si="6"/>
        <v>150</v>
      </c>
      <c r="F16" s="5" t="str">
        <f t="shared" si="7"/>
        <v>Good</v>
      </c>
      <c r="G16" s="5">
        <f t="shared" si="4"/>
        <v>-5</v>
      </c>
    </row>
    <row r="17">
      <c r="A17" s="5">
        <v>600.0</v>
      </c>
      <c r="C17" s="5">
        <v>180.0</v>
      </c>
      <c r="D17" s="5">
        <f t="shared" si="5"/>
        <v>0</v>
      </c>
      <c r="E17" s="5">
        <f t="shared" si="6"/>
        <v>180</v>
      </c>
      <c r="F17" s="5" t="str">
        <f t="shared" si="7"/>
        <v>Good</v>
      </c>
      <c r="G17" s="5">
        <f t="shared" si="4"/>
        <v>-5</v>
      </c>
    </row>
    <row r="18">
      <c r="A18" s="5">
        <v>800.0</v>
      </c>
      <c r="C18" s="5">
        <v>240.0</v>
      </c>
      <c r="D18" s="5">
        <f t="shared" si="5"/>
        <v>0</v>
      </c>
      <c r="E18" s="5">
        <f t="shared" si="6"/>
        <v>240</v>
      </c>
      <c r="F18" s="5" t="str">
        <f t="shared" si="7"/>
        <v>Good</v>
      </c>
      <c r="G18" s="5">
        <f t="shared" si="4"/>
        <v>-5</v>
      </c>
    </row>
    <row r="19">
      <c r="A19" s="5">
        <v>1000.0</v>
      </c>
      <c r="C19" s="5">
        <v>300.0</v>
      </c>
      <c r="D19" s="5">
        <f t="shared" si="5"/>
        <v>0</v>
      </c>
      <c r="E19" s="5">
        <f t="shared" si="6"/>
        <v>300</v>
      </c>
      <c r="F19" s="5" t="str">
        <f t="shared" si="7"/>
        <v>Good</v>
      </c>
      <c r="G19" s="5">
        <f t="shared" si="4"/>
        <v>-5</v>
      </c>
    </row>
    <row r="20">
      <c r="A20" s="5">
        <v>239.0</v>
      </c>
      <c r="C20" s="3">
        <v>125.0</v>
      </c>
      <c r="D20" s="5">
        <f t="shared" si="5"/>
        <v>0</v>
      </c>
      <c r="E20" s="5">
        <f t="shared" si="6"/>
        <v>125</v>
      </c>
      <c r="F20" s="5" t="str">
        <f t="shared" si="7"/>
        <v>Good</v>
      </c>
      <c r="G20" s="5">
        <f t="shared" si="4"/>
        <v>-5</v>
      </c>
    </row>
    <row r="21" ht="15.75" customHeight="1"/>
    <row r="22" ht="15.75" customHeight="1">
      <c r="A22" s="5" t="s">
        <v>55</v>
      </c>
      <c r="C22" s="43"/>
      <c r="F22" s="5" t="s">
        <v>56</v>
      </c>
      <c r="G22" s="5" t="s">
        <v>7</v>
      </c>
      <c r="H22" s="5" t="s">
        <v>8</v>
      </c>
    </row>
    <row r="23" ht="15.75" customHeight="1">
      <c r="A23" s="5" t="s">
        <v>57</v>
      </c>
      <c r="B23" s="5" t="s">
        <v>58</v>
      </c>
      <c r="C23" s="5" t="s">
        <v>59</v>
      </c>
      <c r="D23" s="5" t="s">
        <v>60</v>
      </c>
      <c r="F23" s="5">
        <v>100.0</v>
      </c>
      <c r="G23" s="5">
        <v>100.0</v>
      </c>
      <c r="H23" s="44">
        <v>50.0</v>
      </c>
    </row>
    <row r="24" ht="15.75" customHeight="1">
      <c r="A24" s="45" t="s">
        <v>61</v>
      </c>
      <c r="B24" s="5">
        <v>1000.0</v>
      </c>
      <c r="C24" s="5" t="s">
        <v>62</v>
      </c>
      <c r="D24" s="5" t="s">
        <v>63</v>
      </c>
      <c r="F24" s="5">
        <v>200.0</v>
      </c>
      <c r="G24" s="5">
        <v>200.0</v>
      </c>
      <c r="H24" s="44">
        <v>95.0</v>
      </c>
    </row>
    <row r="25" ht="15.75" customHeight="1">
      <c r="A25" s="45" t="s">
        <v>64</v>
      </c>
      <c r="B25" s="5">
        <v>1000.0</v>
      </c>
      <c r="C25" s="5" t="s">
        <v>65</v>
      </c>
      <c r="D25" s="5" t="s">
        <v>63</v>
      </c>
      <c r="F25" s="5">
        <v>300.0</v>
      </c>
      <c r="G25" s="5">
        <v>300.0</v>
      </c>
      <c r="H25" s="44">
        <v>140.0</v>
      </c>
    </row>
    <row r="26" ht="15.75" customHeight="1">
      <c r="A26" s="45" t="s">
        <v>66</v>
      </c>
      <c r="B26" s="5">
        <v>1000.0</v>
      </c>
      <c r="C26" s="5" t="s">
        <v>67</v>
      </c>
      <c r="D26" s="5" t="s">
        <v>63</v>
      </c>
      <c r="F26" s="5">
        <v>400.0</v>
      </c>
      <c r="G26" s="5">
        <v>400.0</v>
      </c>
      <c r="H26" s="44">
        <v>190.0</v>
      </c>
    </row>
    <row r="27" ht="15.75" customHeight="1">
      <c r="A27" s="46" t="s">
        <v>68</v>
      </c>
      <c r="B27" s="5">
        <v>1000.0</v>
      </c>
      <c r="C27" s="5" t="s">
        <v>69</v>
      </c>
      <c r="D27" s="5" t="s">
        <v>63</v>
      </c>
      <c r="F27" s="5">
        <v>500.0</v>
      </c>
      <c r="G27" s="5">
        <v>500.0</v>
      </c>
      <c r="H27" s="44">
        <v>235.0</v>
      </c>
    </row>
    <row r="28" ht="15.75" customHeight="1">
      <c r="A28" s="5" t="s">
        <v>70</v>
      </c>
      <c r="B28" s="5">
        <v>1000.0</v>
      </c>
      <c r="C28" s="5" t="s">
        <v>69</v>
      </c>
      <c r="D28" s="5" t="s">
        <v>71</v>
      </c>
      <c r="F28" s="5">
        <v>600.0</v>
      </c>
      <c r="G28" s="5">
        <v>600.0</v>
      </c>
      <c r="H28" s="44">
        <v>280.0</v>
      </c>
    </row>
    <row r="29" ht="15.75" customHeight="1">
      <c r="A29" s="47" t="s">
        <v>72</v>
      </c>
      <c r="B29" s="5">
        <v>1000.0</v>
      </c>
      <c r="C29" s="5" t="s">
        <v>69</v>
      </c>
      <c r="D29" s="5" t="s">
        <v>71</v>
      </c>
      <c r="F29" s="5">
        <v>700.0</v>
      </c>
      <c r="G29" s="5">
        <v>700.0</v>
      </c>
      <c r="H29" s="44">
        <v>325.0</v>
      </c>
    </row>
    <row r="30" ht="15.75" customHeight="1">
      <c r="A30" s="5" t="s">
        <v>75</v>
      </c>
      <c r="B30" s="5">
        <v>1000.0</v>
      </c>
      <c r="C30" s="5" t="s">
        <v>69</v>
      </c>
      <c r="D30" s="5" t="s">
        <v>71</v>
      </c>
      <c r="F30" s="5">
        <v>800.0</v>
      </c>
      <c r="G30" s="5">
        <v>800.0</v>
      </c>
      <c r="H30" s="44">
        <v>365.0</v>
      </c>
    </row>
    <row r="31" ht="15.75" customHeight="1">
      <c r="A31" s="5" t="s">
        <v>64</v>
      </c>
      <c r="B31" s="5">
        <v>1000.0</v>
      </c>
      <c r="C31" s="5" t="s">
        <v>69</v>
      </c>
      <c r="D31" s="5" t="s">
        <v>71</v>
      </c>
      <c r="F31" s="5">
        <v>900.0</v>
      </c>
      <c r="G31" s="5">
        <v>900.0</v>
      </c>
      <c r="H31" s="44">
        <v>415.0</v>
      </c>
    </row>
    <row r="32" ht="15.75" customHeight="1">
      <c r="A32" s="52"/>
      <c r="C32" s="52"/>
      <c r="F32" s="5">
        <v>1000.0</v>
      </c>
      <c r="G32" s="5">
        <v>1000.0</v>
      </c>
      <c r="H32" s="44">
        <v>450.0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20 F33:F1000 G22 J22:J30">
    <cfRule type="cellIs" dxfId="4" priority="1" operator="equal">
      <formula>"Good"</formula>
    </cfRule>
  </conditionalFormatting>
  <conditionalFormatting sqref="F1:F20 F33:F1000 G22 J22:J30">
    <cfRule type="cellIs" dxfId="5" priority="2" operator="equal">
      <formula>"Okay"</formula>
    </cfRule>
  </conditionalFormatting>
  <conditionalFormatting sqref="F1:F20 F33:F1000 G22 J22:J30">
    <cfRule type="cellIs" dxfId="6" priority="3" operator="equal">
      <formula>"Bad"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3.0"/>
    <col customWidth="1" min="3" max="3" width="21.86"/>
    <col customWidth="1" min="4" max="4" width="15.29"/>
    <col customWidth="1" min="5" max="5" width="23.14"/>
    <col customWidth="1" min="6" max="6" width="19.0"/>
  </cols>
  <sheetData>
    <row r="1" ht="22.5" customHeight="1">
      <c r="A1" s="6" t="s">
        <v>3</v>
      </c>
      <c r="B1" s="6" t="s">
        <v>10</v>
      </c>
      <c r="C1" s="9" t="s">
        <v>12</v>
      </c>
      <c r="D1" s="6" t="s">
        <v>16</v>
      </c>
      <c r="E1" s="10" t="s">
        <v>19</v>
      </c>
      <c r="F1" s="10" t="s">
        <v>22</v>
      </c>
    </row>
    <row r="2" ht="22.5" customHeight="1">
      <c r="A2" s="13">
        <v>46165.0</v>
      </c>
      <c r="B2" s="16" t="s">
        <v>35</v>
      </c>
      <c r="C2" s="18">
        <v>145.0</v>
      </c>
      <c r="D2" s="20"/>
      <c r="E2" s="22">
        <v>480.0</v>
      </c>
      <c r="F2" s="22" t="s">
        <v>41</v>
      </c>
    </row>
    <row r="3" ht="22.5" customHeight="1">
      <c r="A3" s="13">
        <v>46166.0</v>
      </c>
      <c r="B3" s="16"/>
      <c r="C3" s="20">
        <v>130.0</v>
      </c>
      <c r="D3" s="20"/>
      <c r="E3" s="22"/>
      <c r="F3" s="22"/>
      <c r="G3" s="26"/>
    </row>
    <row r="4" ht="22.5" customHeight="1">
      <c r="A4" s="13"/>
      <c r="B4" s="16"/>
      <c r="C4" s="20">
        <v>49.0</v>
      </c>
      <c r="D4" s="20"/>
      <c r="E4" s="22"/>
      <c r="F4" s="22"/>
      <c r="G4" s="26"/>
    </row>
    <row r="5" ht="22.5" customHeight="1">
      <c r="A5" s="13"/>
      <c r="B5" s="16"/>
      <c r="C5" s="20">
        <v>25.0</v>
      </c>
      <c r="D5" s="20"/>
      <c r="E5" s="22"/>
      <c r="F5" s="22"/>
      <c r="G5" s="26"/>
    </row>
    <row r="6">
      <c r="A6" s="27"/>
      <c r="B6" s="28"/>
      <c r="C6" s="26"/>
      <c r="D6" s="26"/>
      <c r="E6" s="30"/>
      <c r="F6" s="30"/>
      <c r="G6" s="26"/>
    </row>
    <row r="7">
      <c r="A7" s="27"/>
      <c r="B7" s="28"/>
      <c r="C7" s="26"/>
      <c r="D7" s="26"/>
      <c r="E7" s="30"/>
      <c r="F7" s="30"/>
      <c r="G7" s="26"/>
    </row>
    <row r="8">
      <c r="A8" s="27"/>
      <c r="B8" s="28"/>
      <c r="C8" s="26"/>
      <c r="D8" s="26"/>
      <c r="E8" s="30"/>
      <c r="F8" s="30"/>
      <c r="G8" s="26"/>
    </row>
    <row r="9">
      <c r="A9" s="28"/>
      <c r="B9" s="28"/>
      <c r="C9" s="28"/>
      <c r="D9" s="28"/>
      <c r="E9" s="31"/>
      <c r="F9" s="30"/>
      <c r="G9" s="26"/>
    </row>
    <row r="10">
      <c r="E10" s="33"/>
      <c r="F10" s="33"/>
    </row>
    <row r="11">
      <c r="E11" s="33"/>
      <c r="F11" s="33"/>
    </row>
    <row r="12">
      <c r="E12" s="33"/>
      <c r="F12" s="33"/>
    </row>
    <row r="13">
      <c r="E13" s="33"/>
      <c r="F13" s="33"/>
    </row>
    <row r="14">
      <c r="E14" s="33"/>
      <c r="F14" s="33"/>
    </row>
    <row r="15">
      <c r="E15" s="33"/>
      <c r="F15" s="33"/>
    </row>
    <row r="16">
      <c r="E16" s="33"/>
      <c r="F16" s="33"/>
    </row>
    <row r="17">
      <c r="E17" s="33"/>
      <c r="F17" s="33"/>
    </row>
    <row r="18">
      <c r="E18" s="33"/>
      <c r="F18" s="33"/>
    </row>
    <row r="19">
      <c r="E19" s="33"/>
      <c r="F19" s="33"/>
    </row>
    <row r="20">
      <c r="E20" s="33"/>
      <c r="F20" s="33"/>
    </row>
    <row r="21" ht="15.75" customHeight="1">
      <c r="E21" s="33"/>
      <c r="F21" s="33"/>
    </row>
    <row r="22" ht="15.75" customHeight="1">
      <c r="E22" s="33"/>
      <c r="F22" s="33"/>
    </row>
    <row r="23" ht="15.75" customHeight="1">
      <c r="E23" s="33"/>
      <c r="F23" s="33"/>
    </row>
    <row r="24" ht="15.75" customHeight="1">
      <c r="E24" s="33"/>
      <c r="F24" s="33"/>
    </row>
    <row r="25" ht="15.75" customHeight="1">
      <c r="E25" s="33"/>
      <c r="F25" s="33"/>
    </row>
    <row r="26" ht="15.75" customHeight="1">
      <c r="E26" s="33"/>
      <c r="F26" s="33"/>
    </row>
    <row r="27" ht="15.75" customHeight="1">
      <c r="E27" s="33"/>
      <c r="F27" s="33"/>
    </row>
    <row r="28" ht="15.75" customHeight="1">
      <c r="E28" s="33"/>
      <c r="F28" s="33"/>
    </row>
    <row r="29" ht="15.75" customHeight="1">
      <c r="E29" s="33"/>
      <c r="F29" s="3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9.0"/>
    <col customWidth="1" min="3" max="6" width="14.43"/>
  </cols>
  <sheetData>
    <row r="1">
      <c r="A1" s="49" t="s">
        <v>74</v>
      </c>
      <c r="B1" s="50" t="s">
        <v>77</v>
      </c>
    </row>
    <row r="2">
      <c r="A2" s="5" t="s">
        <v>78</v>
      </c>
      <c r="B2" s="54" t="s">
        <v>79</v>
      </c>
    </row>
    <row r="9">
      <c r="A9" s="24">
        <v>143.0</v>
      </c>
      <c r="B9" s="24">
        <v>100.0</v>
      </c>
      <c r="C9" s="24">
        <v>45.0</v>
      </c>
      <c r="D9" s="24">
        <f t="shared" ref="D9:D16" si="1">(A9/1000)*$I$2</f>
        <v>0</v>
      </c>
      <c r="E9" s="24">
        <f t="shared" ref="E9:E16" si="2">C9-D9</f>
        <v>45</v>
      </c>
      <c r="F9" s="38" t="str">
        <f t="shared" ref="F9:F16" si="3">IF(E9&lt;5,"Bad",IF(E9&lt;20,"Okay","Good"))</f>
        <v>Good</v>
      </c>
    </row>
    <row r="10">
      <c r="A10" s="24">
        <v>286.0</v>
      </c>
      <c r="B10" s="24">
        <v>200.0</v>
      </c>
      <c r="C10" s="24">
        <v>85.0</v>
      </c>
      <c r="D10" s="24">
        <f t="shared" si="1"/>
        <v>0</v>
      </c>
      <c r="E10" s="24">
        <f t="shared" si="2"/>
        <v>85</v>
      </c>
      <c r="F10" s="38" t="str">
        <f t="shared" si="3"/>
        <v>Good</v>
      </c>
    </row>
    <row r="11">
      <c r="A11" s="24">
        <v>429.0</v>
      </c>
      <c r="B11" s="24">
        <v>300.0</v>
      </c>
      <c r="C11" s="24">
        <v>130.0</v>
      </c>
      <c r="D11" s="24">
        <f t="shared" si="1"/>
        <v>0</v>
      </c>
      <c r="E11" s="24">
        <f t="shared" si="2"/>
        <v>130</v>
      </c>
      <c r="F11" s="55" t="str">
        <f t="shared" si="3"/>
        <v>Good</v>
      </c>
    </row>
    <row r="12">
      <c r="A12" s="24">
        <v>572.0</v>
      </c>
      <c r="B12" s="24">
        <v>400.0</v>
      </c>
      <c r="C12" s="24">
        <v>170.0</v>
      </c>
      <c r="D12" s="24">
        <f t="shared" si="1"/>
        <v>0</v>
      </c>
      <c r="E12" s="24">
        <f t="shared" si="2"/>
        <v>170</v>
      </c>
      <c r="F12" s="55" t="str">
        <f t="shared" si="3"/>
        <v>Good</v>
      </c>
    </row>
    <row r="13">
      <c r="A13" s="24">
        <v>715.0</v>
      </c>
      <c r="B13" s="24">
        <v>500.0</v>
      </c>
      <c r="C13" s="24">
        <v>210.0</v>
      </c>
      <c r="D13" s="24">
        <f t="shared" si="1"/>
        <v>0</v>
      </c>
      <c r="E13" s="24">
        <f t="shared" si="2"/>
        <v>210</v>
      </c>
      <c r="F13" s="55" t="str">
        <f t="shared" si="3"/>
        <v>Good</v>
      </c>
    </row>
    <row r="14">
      <c r="A14" s="24">
        <v>858.0</v>
      </c>
      <c r="B14" s="24">
        <v>600.0</v>
      </c>
      <c r="C14" s="24">
        <v>255.0</v>
      </c>
      <c r="D14" s="24">
        <f t="shared" si="1"/>
        <v>0</v>
      </c>
      <c r="E14" s="24">
        <f t="shared" si="2"/>
        <v>255</v>
      </c>
      <c r="F14" s="55" t="str">
        <f t="shared" si="3"/>
        <v>Good</v>
      </c>
    </row>
    <row r="15">
      <c r="A15" s="24">
        <v>1143.0</v>
      </c>
      <c r="B15" s="24">
        <v>800.0</v>
      </c>
      <c r="C15" s="24">
        <v>310.0</v>
      </c>
      <c r="D15" s="24">
        <f t="shared" si="1"/>
        <v>0</v>
      </c>
      <c r="E15" s="24">
        <f t="shared" si="2"/>
        <v>310</v>
      </c>
      <c r="F15" s="55" t="str">
        <f t="shared" si="3"/>
        <v>Good</v>
      </c>
    </row>
    <row r="16">
      <c r="A16" s="24">
        <v>1429.0</v>
      </c>
      <c r="B16" s="24">
        <v>1000.0</v>
      </c>
      <c r="C16" s="24">
        <v>410.0</v>
      </c>
      <c r="D16" s="24">
        <f t="shared" si="1"/>
        <v>0</v>
      </c>
      <c r="E16" s="24">
        <f t="shared" si="2"/>
        <v>410</v>
      </c>
      <c r="F16" s="55" t="str">
        <f t="shared" si="3"/>
        <v>Good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